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windowWidth="28800" windowHeight="12255" tabRatio="600" firstSheet="0" activeTab="0" autoFilterDateGrouping="1"/>
  </bookViews>
  <sheets>
    <sheet xmlns:r="http://schemas.openxmlformats.org/officeDocument/2006/relationships" name="盘套 (2)" sheetId="1" state="visible" r:id="rId1"/>
    <sheet xmlns:r="http://schemas.openxmlformats.org/officeDocument/2006/relationships" name="订单用量汇总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5">
    <numFmt numFmtId="164" formatCode="0.000_);[Red]\(0.000\)"/>
    <numFmt numFmtId="165" formatCode="0_);[Red]\(0\)"/>
    <numFmt numFmtId="166" formatCode="0.00_);[Red]\(0.00\)"/>
    <numFmt numFmtId="167" formatCode="#,##0.000_ "/>
    <numFmt numFmtId="168" formatCode="0.000000"/>
  </numFmts>
  <fonts count="38">
    <font>
      <name val="宋体"/>
      <charset val="134"/>
      <color theme="1"/>
      <sz val="11"/>
      <scheme val="minor"/>
    </font>
    <font>
      <name val="微软雅黑"/>
      <charset val="134"/>
      <b val="1"/>
      <sz val="16"/>
    </font>
    <font>
      <name val="微软雅黑"/>
      <charset val="134"/>
      <b val="1"/>
      <sz val="12"/>
    </font>
    <font>
      <name val="宋体"/>
      <charset val="134"/>
      <b val="1"/>
      <sz val="12"/>
    </font>
    <font>
      <name val="宋体"/>
      <charset val="134"/>
      <sz val="12"/>
    </font>
    <font>
      <name val="宋体"/>
      <charset val="134"/>
      <sz val="14"/>
    </font>
    <font>
      <name val="宋体"/>
      <charset val="134"/>
      <b val="1"/>
      <color indexed="10"/>
      <sz val="12"/>
    </font>
    <font>
      <name val="宋体"/>
      <charset val="134"/>
      <b val="1"/>
      <color indexed="20"/>
      <sz val="16"/>
    </font>
    <font>
      <name val="宋体"/>
      <charset val="134"/>
      <b val="1"/>
      <color rgb="FFFF0000"/>
      <sz val="12"/>
    </font>
    <font>
      <name val="宋体"/>
      <charset val="134"/>
      <b val="1"/>
      <color indexed="12"/>
      <sz val="16"/>
    </font>
    <font>
      <name val="宋体"/>
      <charset val="134"/>
      <b val="1"/>
      <color rgb="FF800080"/>
      <sz val="16"/>
    </font>
    <font>
      <name val="宋体"/>
      <charset val="134"/>
      <b val="1"/>
      <color rgb="FF800080"/>
      <sz val="12"/>
    </font>
    <font>
      <name val="宋体"/>
      <charset val="134"/>
      <b val="1"/>
      <color rgb="FF0000FF"/>
      <sz val="14"/>
    </font>
    <font>
      <name val="宋体"/>
      <charset val="134"/>
      <b val="1"/>
      <color rgb="FF0000FF"/>
      <sz val="16"/>
    </font>
    <font>
      <name val="宋体"/>
      <charset val="134"/>
      <b val="1"/>
      <color rgb="FF0000FF"/>
      <sz val="12"/>
    </font>
    <font>
      <name val="宋体"/>
      <charset val="134"/>
      <color rgb="FF000000"/>
      <sz val="12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宋体"/>
      <charset val="134"/>
      <b val="1"/>
      <color indexed="12"/>
      <sz val="12"/>
    </font>
    <font>
      <name val="微软雅黑"/>
      <charset val="134"/>
      <b val="1"/>
      <color indexed="12"/>
      <sz val="12"/>
    </font>
    <font>
      <name val="Microsoft YaHei"/>
      <b val="1"/>
      <color rgb="00FFFFFF"/>
    </font>
  </fonts>
  <fills count="3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C6EFCE"/>
      </patternFill>
    </fill>
    <fill>
      <patternFill patternType="solid">
        <fgColor rgb="001F4E79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51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0" fillId="5" borderId="5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6" applyAlignment="1">
      <alignment vertical="center"/>
    </xf>
    <xf numFmtId="0" fontId="22" fillId="0" borderId="6" applyAlignment="1">
      <alignment vertical="center"/>
    </xf>
    <xf numFmtId="0" fontId="23" fillId="0" borderId="7" applyAlignment="1">
      <alignment vertical="center"/>
    </xf>
    <xf numFmtId="0" fontId="23" fillId="0" borderId="0" applyAlignment="1">
      <alignment vertical="center"/>
    </xf>
    <xf numFmtId="0" fontId="24" fillId="6" borderId="8" applyAlignment="1">
      <alignment vertical="center"/>
    </xf>
    <xf numFmtId="0" fontId="25" fillId="7" borderId="9" applyAlignment="1">
      <alignment vertical="center"/>
    </xf>
    <xf numFmtId="0" fontId="26" fillId="7" borderId="8" applyAlignment="1">
      <alignment vertical="center"/>
    </xf>
    <xf numFmtId="0" fontId="27" fillId="8" borderId="10" applyAlignment="1">
      <alignment vertical="center"/>
    </xf>
    <xf numFmtId="0" fontId="28" fillId="0" borderId="11" applyAlignment="1">
      <alignment vertical="center"/>
    </xf>
    <xf numFmtId="0" fontId="29" fillId="0" borderId="12" applyAlignment="1">
      <alignment vertical="center"/>
    </xf>
    <xf numFmtId="0" fontId="30" fillId="9" borderId="0" applyAlignment="1">
      <alignment vertical="center"/>
    </xf>
    <xf numFmtId="0" fontId="31" fillId="10" borderId="0" applyAlignment="1">
      <alignment vertical="center"/>
    </xf>
    <xf numFmtId="0" fontId="32" fillId="11" borderId="0" applyAlignment="1">
      <alignment vertical="center"/>
    </xf>
    <xf numFmtId="0" fontId="33" fillId="12" borderId="0" applyAlignment="1">
      <alignment vertical="center"/>
    </xf>
    <xf numFmtId="0" fontId="34" fillId="13" borderId="0" applyAlignment="1">
      <alignment vertical="center"/>
    </xf>
    <xf numFmtId="0" fontId="34" fillId="14" borderId="0" applyAlignment="1">
      <alignment vertical="center"/>
    </xf>
    <xf numFmtId="0" fontId="33" fillId="15" borderId="0" applyAlignment="1">
      <alignment vertical="center"/>
    </xf>
    <xf numFmtId="0" fontId="33" fillId="16" borderId="0" applyAlignment="1">
      <alignment vertical="center"/>
    </xf>
    <xf numFmtId="0" fontId="34" fillId="17" borderId="0" applyAlignment="1">
      <alignment vertical="center"/>
    </xf>
    <xf numFmtId="0" fontId="34" fillId="18" borderId="0" applyAlignment="1">
      <alignment vertical="center"/>
    </xf>
    <xf numFmtId="0" fontId="33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4" fillId="0" borderId="0"/>
    <xf numFmtId="0" fontId="4" fillId="0" borderId="0"/>
  </cellStyleXfs>
  <cellXfs count="73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2" fillId="0" borderId="1" pivotButton="0" quotePrefix="0" xfId="0"/>
    <xf numFmtId="0" fontId="3" fillId="0" borderId="1" applyAlignment="1" pivotButton="0" quotePrefix="0" xfId="0">
      <alignment vertical="center"/>
    </xf>
    <xf numFmtId="0" fontId="4" fillId="0" borderId="1" pivotButton="0" quotePrefix="0" xfId="0"/>
    <xf numFmtId="0" fontId="3" fillId="0" borderId="1" applyAlignment="1" pivotButton="0" quotePrefix="0" xfId="0">
      <alignment horizontal="center" vertical="center" wrapText="1" readingOrder="1"/>
    </xf>
    <xf numFmtId="0" fontId="3" fillId="0" borderId="1" applyAlignment="1" pivotButton="0" quotePrefix="0" xfId="0">
      <alignment horizontal="center" readingOrder="1"/>
    </xf>
    <xf numFmtId="0" fontId="5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wrapText="1"/>
    </xf>
    <xf numFmtId="0" fontId="6" fillId="0" borderId="1" applyAlignment="1" pivotButton="0" quotePrefix="0" xfId="0">
      <alignment horizontal="center" vertical="center" readingOrder="1"/>
    </xf>
    <xf numFmtId="0" fontId="7" fillId="0" borderId="1" applyAlignment="1" pivotButton="0" quotePrefix="0" xfId="0">
      <alignment horizontal="center" vertical="center" readingOrder="1"/>
    </xf>
    <xf numFmtId="164" fontId="6" fillId="0" borderId="1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wrapText="1"/>
    </xf>
    <xf numFmtId="0" fontId="8" fillId="0" borderId="1" applyAlignment="1" pivotButton="0" quotePrefix="0" xfId="0">
      <alignment horizontal="center" vertical="center" readingOrder="1"/>
    </xf>
    <xf numFmtId="0" fontId="9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0" fontId="4" fillId="0" borderId="1" applyAlignment="1" pivotButton="0" quotePrefix="0" xfId="49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0" fontId="6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wrapText="1"/>
    </xf>
    <xf numFmtId="166" fontId="4" fillId="0" borderId="1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readingOrder="1"/>
    </xf>
    <xf numFmtId="0" fontId="4" fillId="0" borderId="3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readingOrder="1"/>
    </xf>
    <xf numFmtId="0" fontId="4" fillId="0" borderId="2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 readingOrder="1"/>
    </xf>
    <xf numFmtId="0" fontId="4" fillId="0" borderId="3" applyAlignment="1" pivotButton="0" quotePrefix="0" xfId="0">
      <alignment horizontal="center" vertical="center" wrapText="1"/>
    </xf>
    <xf numFmtId="0" fontId="10" fillId="0" borderId="1" applyAlignment="1" pivotButton="0" quotePrefix="0" xfId="0">
      <alignment horizontal="center" vertical="center" readingOrder="1"/>
    </xf>
    <xf numFmtId="166" fontId="6" fillId="0" borderId="1" applyAlignment="1" pivotButton="0" quotePrefix="0" xfId="0">
      <alignment horizontal="center" vertical="center" readingOrder="1"/>
    </xf>
    <xf numFmtId="0" fontId="8" fillId="2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0" fontId="11" fillId="3" borderId="1" applyAlignment="1" pivotButton="0" quotePrefix="0" xfId="0">
      <alignment horizontal="center" vertical="center" wrapText="1" readingOrder="1"/>
    </xf>
    <xf numFmtId="0" fontId="12" fillId="4" borderId="1" applyAlignment="1" pivotButton="0" quotePrefix="0" xfId="0">
      <alignment horizontal="center" vertical="center" wrapText="1" readingOrder="1"/>
    </xf>
    <xf numFmtId="0" fontId="13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0" fontId="4" fillId="0" borderId="4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readingOrder="1"/>
    </xf>
    <xf numFmtId="0" fontId="11" fillId="0" borderId="1" applyAlignment="1" pivotButton="0" quotePrefix="0" xfId="50">
      <alignment horizontal="center" vertical="center" readingOrder="1"/>
    </xf>
    <xf numFmtId="0" fontId="6" fillId="0" borderId="1" applyAlignment="1" pivotButton="0" quotePrefix="0" xfId="50">
      <alignment horizontal="center" vertical="center" readingOrder="1"/>
    </xf>
    <xf numFmtId="0" fontId="8" fillId="2" borderId="1" applyAlignment="1" pivotButton="0" quotePrefix="0" xfId="50">
      <alignment horizontal="center" vertical="center" wrapText="1" readingOrder="1"/>
    </xf>
    <xf numFmtId="0" fontId="14" fillId="2" borderId="1" applyAlignment="1" pivotButton="0" quotePrefix="0" xfId="5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13" fillId="2" borderId="1" applyAlignment="1" pivotButton="0" quotePrefix="0" xfId="0">
      <alignment horizontal="center" vertical="center" readingOrder="1"/>
    </xf>
    <xf numFmtId="0" fontId="11" fillId="0" borderId="1" applyAlignment="1" pivotButton="0" quotePrefix="0" xfId="0">
      <alignment horizontal="center" vertical="center" readingOrder="1"/>
    </xf>
    <xf numFmtId="0" fontId="15" fillId="0" borderId="1" applyAlignment="1" pivotButton="0" quotePrefix="0" xfId="0">
      <alignment horizontal="center" vertical="center" readingOrder="1"/>
    </xf>
    <xf numFmtId="0" fontId="0" fillId="0" borderId="0" pivotButton="0" quotePrefix="0" xfId="0"/>
    <xf numFmtId="0" fontId="0" fillId="0" borderId="15" pivotButton="0" quotePrefix="0" xfId="0"/>
    <xf numFmtId="0" fontId="0" fillId="0" borderId="16" pivotButton="0" quotePrefix="0" xfId="0"/>
    <xf numFmtId="0" fontId="4" fillId="0" borderId="1" applyAlignment="1" pivotButton="0" quotePrefix="0" xfId="0">
      <alignment horizontal="center" wrapText="1"/>
    </xf>
    <xf numFmtId="164" fontId="6" fillId="0" borderId="1" applyAlignment="1" pivotButton="0" quotePrefix="0" xfId="0">
      <alignment horizontal="center" vertical="center" readingOrder="1"/>
    </xf>
    <xf numFmtId="0" fontId="0" fillId="0" borderId="3" pivotButton="0" quotePrefix="0" xfId="0"/>
    <xf numFmtId="0" fontId="8" fillId="36" borderId="1" applyAlignment="1" pivotButton="0" quotePrefix="0" xfId="0">
      <alignment horizontal="center" vertical="center" readingOrder="1"/>
    </xf>
    <xf numFmtId="165" fontId="4" fillId="0" borderId="1" applyAlignment="1" pivotButton="0" quotePrefix="0" xfId="49">
      <alignment horizontal="center" vertical="center" readingOrder="1"/>
    </xf>
    <xf numFmtId="166" fontId="6" fillId="0" borderId="1" applyAlignment="1" pivotButton="0" quotePrefix="0" xfId="0">
      <alignment horizontal="center" vertical="center" wrapText="1"/>
    </xf>
    <xf numFmtId="0" fontId="0" fillId="0" borderId="4" pivotButton="0" quotePrefix="0" xfId="0"/>
    <xf numFmtId="166" fontId="4" fillId="0" borderId="1" applyAlignment="1" pivotButton="0" quotePrefix="0" xfId="0">
      <alignment horizontal="center" vertical="center" readingOrder="1"/>
    </xf>
    <xf numFmtId="0" fontId="4" fillId="0" borderId="1" applyAlignment="1" pivotButton="0" quotePrefix="0" xfId="0">
      <alignment horizontal="center" vertical="center" wrapText="1"/>
    </xf>
    <xf numFmtId="166" fontId="6" fillId="0" borderId="1" applyAlignment="1" pivotButton="0" quotePrefix="0" xfId="0">
      <alignment horizontal="center" vertical="center" readingOrder="1"/>
    </xf>
    <xf numFmtId="0" fontId="8" fillId="36" borderId="1" applyAlignment="1" pivotButton="0" quotePrefix="0" xfId="0">
      <alignment horizontal="center" vertical="center" wrapText="1" readingOrder="1"/>
    </xf>
    <xf numFmtId="167" fontId="6" fillId="0" borderId="1" applyAlignment="1" pivotButton="0" quotePrefix="0" xfId="0">
      <alignment horizontal="center" vertical="center" readingOrder="1"/>
    </xf>
    <xf numFmtId="165" fontId="6" fillId="0" borderId="1" applyAlignment="1" pivotButton="0" quotePrefix="0" xfId="0">
      <alignment horizontal="center" vertical="center" readingOrder="1"/>
    </xf>
    <xf numFmtId="165" fontId="4" fillId="0" borderId="1" applyAlignment="1" pivotButton="0" quotePrefix="0" xfId="0">
      <alignment horizontal="center" vertical="center" readingOrder="1"/>
    </xf>
    <xf numFmtId="164" fontId="8" fillId="0" borderId="1" applyAlignment="1" pivotButton="0" quotePrefix="0" xfId="0">
      <alignment horizontal="center" vertical="center" readingOrder="1"/>
    </xf>
    <xf numFmtId="165" fontId="8" fillId="0" borderId="1" applyAlignment="1" pivotButton="0" quotePrefix="0" xfId="0">
      <alignment horizontal="center" vertical="center" readingOrder="1"/>
    </xf>
    <xf numFmtId="164" fontId="14" fillId="0" borderId="1" applyAlignment="1" pivotButton="0" quotePrefix="0" xfId="0">
      <alignment horizontal="center" vertical="center" readingOrder="1"/>
    </xf>
    <xf numFmtId="0" fontId="37" fillId="37" borderId="18" applyAlignment="1" pivotButton="0" quotePrefix="0" xfId="0">
      <alignment horizontal="center" vertical="center"/>
    </xf>
    <xf numFmtId="0" fontId="0" fillId="0" borderId="18" applyAlignment="1" pivotButton="0" quotePrefix="0" xfId="0">
      <alignment vertical="top" wrapText="1"/>
    </xf>
    <xf numFmtId="168" fontId="0" fillId="0" borderId="18" applyAlignment="1" pivotButton="0" quotePrefix="0" xfId="0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_NBBTY-HZH-JX-1803150 盘套" xfId="49"/>
    <cellStyle name="常规 2" xfId="50"/>
  </cellStyles>
  <dxfs count="18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ill>
        <patternFill patternType="solid">
          <fgColor rgb="00E2F0D9"/>
        </patternFill>
      </fill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Codex</author>
  </authors>
  <commentList>
    <comment ref="B6" authorId="0" shapeId="0">
      <text>
        <t>自动优化：因本行与后续连续行单件用料相同，已把后续连续行材料名称追加到本行材料名称中。</t>
      </text>
    </comment>
    <comment ref="B12" authorId="0" shapeId="0">
      <text>
        <t>自动优化：因本行与后续连续行单件用料相同，已把后续连续行材料名称追加到本行材料名称中。</t>
      </text>
    </comment>
    <comment ref="B20" authorId="0" shapeId="0">
      <text>
        <t>自动优化：因本行与后续连续行单件用料相同，已把后续连续行材料名称追加到本行材料名称中。</t>
      </text>
    </comment>
    <comment ref="B29" authorId="0" shapeId="0">
      <text>
        <t>自动优化：因本行与后续连续行单件用料相同，已把后续连续行材料名称追加到本行材料名称中。</t>
      </text>
    </comment>
    <comment ref="B38" authorId="0" shapeId="0">
      <text>
        <t>自动优化：因本行与后续连续行单件用料相同，已把后续连续行材料名称追加到本行材料名称中。</t>
      </text>
    </comment>
    <comment ref="B47" authorId="0" shapeId="0">
      <text>
        <t>自动优化：因本行与后续连续行单件用料相同，已把后续连续行材料名称追加到本行材料名称中。</t>
      </text>
    </comment>
    <comment ref="B54" authorId="0" shapeId="0">
      <text>
        <t>自动优化：因本行与后续连续行单件用料相同，已把后续连续行材料名称追加到本行材料名称中。</t>
      </text>
    </comment>
    <comment ref="B61" authorId="0" shapeId="0">
      <text>
        <t>自动优化：因本行与后续连续行单件用料相同，已把后续连续行材料名称追加到本行材料名称中。</t>
      </text>
    </comment>
    <comment ref="B68" authorId="0" shapeId="0">
      <text>
        <t>自动优化：因本行与后续连续行单件用料相同，已把后续连续行材料名称追加到本行材料名称中。</t>
      </text>
    </comment>
    <comment ref="B75" authorId="0" shapeId="0">
      <text>
        <t>自动优化：因本行与后续连续行单件用料相同，已把后续连续行材料名称追加到本行材料名称中。</t>
      </text>
    </comment>
    <comment ref="B96" authorId="0" shapeId="0">
      <text>
        <t>自动优化：因本行与后续连续行单件用料相同，已把后续连续行材料名称追加到本行材料名称中。</t>
      </text>
    </comment>
    <comment ref="B103" authorId="0" shapeId="0">
      <text>
        <t>自动优化：因本行与后续连续行单件用料相同，已把后续连续行材料名称追加到本行材料名称中。</t>
      </text>
    </comment>
    <comment ref="B110" authorId="0" shapeId="0">
      <text>
        <t>自动优化：因本行与后续连续行单件用料相同，已把后续连续行材料名称追加到本行材料名称中。</t>
      </text>
    </comment>
  </commentList>
</comment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140"/>
  <sheetViews>
    <sheetView tabSelected="1" view="pageBreakPreview" zoomScaleNormal="100" workbookViewId="0">
      <selection activeCell="K5" sqref="K5"/>
    </sheetView>
  </sheetViews>
  <sheetFormatPr baseColWidth="8" defaultColWidth="9" defaultRowHeight="13.5"/>
  <cols>
    <col width="9" customWidth="1" style="1" min="1" max="1"/>
    <col width="57.625" customWidth="1" style="1" min="2" max="2"/>
    <col width="9.875" customWidth="1" style="1" min="3" max="3"/>
    <col width="9" customWidth="1" style="1" min="4" max="4"/>
    <col width="11.625" customWidth="1" style="1" min="5" max="5"/>
    <col width="9" customWidth="1" style="1" min="6" max="16384"/>
  </cols>
  <sheetData>
    <row r="1" ht="22.5" customHeight="1" s="50">
      <c r="A1" s="2" t="inlineStr">
        <is>
          <t xml:space="preserve">                                       浙江佳轩汽车用品有限公司</t>
        </is>
      </c>
      <c r="B1" s="51" t="n"/>
      <c r="C1" s="51" t="n"/>
      <c r="D1" s="51" t="n"/>
      <c r="E1" s="51" t="n"/>
      <c r="F1" s="51" t="n"/>
      <c r="G1" s="51" t="n"/>
      <c r="H1" s="52" t="n"/>
    </row>
    <row r="2" ht="14.25" customHeight="1" s="50">
      <c r="A2" s="4" t="inlineStr">
        <is>
          <t xml:space="preserve">  购货单位：MILANO-HZH  JX2606518  制单日期: 2026.6.19      更改日期: 2026/6/16</t>
        </is>
      </c>
      <c r="B2" s="51" t="n"/>
      <c r="C2" s="51" t="n"/>
      <c r="D2" s="51" t="n"/>
      <c r="E2" s="51" t="n"/>
      <c r="F2" s="51" t="n"/>
      <c r="G2" s="51" t="n"/>
      <c r="H2" s="52" t="n"/>
    </row>
    <row r="3" ht="14.25" customHeight="1" s="50">
      <c r="A3" s="6" t="inlineStr">
        <is>
          <t>产品主要材料清单</t>
        </is>
      </c>
      <c r="B3" s="51" t="n"/>
      <c r="C3" s="51" t="n"/>
      <c r="D3" s="51" t="n"/>
      <c r="E3" s="51" t="n"/>
      <c r="F3" s="51" t="n"/>
      <c r="G3" s="51" t="n"/>
      <c r="H3" s="52" t="n"/>
    </row>
    <row r="4" ht="18.75" customHeight="1" s="50">
      <c r="A4" s="5" t="n"/>
      <c r="B4" s="8" t="inlineStr">
        <is>
          <t>材料名称</t>
        </is>
      </c>
      <c r="C4" s="9" t="inlineStr">
        <is>
          <t>颜色</t>
        </is>
      </c>
      <c r="D4" s="9" t="inlineStr">
        <is>
          <t>单位</t>
        </is>
      </c>
      <c r="E4" s="9" t="inlineStr">
        <is>
          <t>门幅/规格</t>
        </is>
      </c>
      <c r="F4" s="9" t="inlineStr">
        <is>
          <t>单件用料</t>
        </is>
      </c>
      <c r="G4" s="9" t="inlineStr">
        <is>
          <t>订单数量</t>
        </is>
      </c>
      <c r="H4" s="9" t="inlineStr">
        <is>
          <t>订单用量</t>
        </is>
      </c>
    </row>
    <row r="5" ht="20.25" customHeight="1" s="50">
      <c r="A5" s="53" t="inlineStr">
        <is>
          <t>JX-163142-1</t>
        </is>
      </c>
      <c r="B5" s="11" t="inlineStr">
        <is>
          <t>002冲孔皮革拉毛底</t>
        </is>
      </c>
      <c r="C5" s="12" t="inlineStr">
        <is>
          <t>黑色</t>
        </is>
      </c>
      <c r="D5" s="11" t="inlineStr">
        <is>
          <t>米</t>
        </is>
      </c>
      <c r="E5" s="11" t="n">
        <v>1.45</v>
      </c>
      <c r="F5" s="54" t="n">
        <v>0.105</v>
      </c>
      <c r="G5" s="9" t="n">
        <v>175</v>
      </c>
      <c r="H5" s="11">
        <f>F5*$G$5</f>
        <v/>
      </c>
    </row>
    <row r="6" ht="20.25" customHeight="1" s="50">
      <c r="A6" s="55" t="n"/>
      <c r="B6" s="56" t="inlineStr">
        <is>
          <t>麂皮绒（有弹力）-需复合(0.85CM厚37#海绵*灰色)</t>
        </is>
      </c>
      <c r="C6" s="12" t="inlineStr">
        <is>
          <t>黑色</t>
        </is>
      </c>
      <c r="D6" s="11" t="inlineStr">
        <is>
          <t>米</t>
        </is>
      </c>
      <c r="E6" s="11" t="n">
        <v>1.5</v>
      </c>
      <c r="F6" s="54" t="n">
        <v>0.079</v>
      </c>
      <c r="G6" s="55" t="n"/>
      <c r="H6" s="11">
        <f>F6*$G$5</f>
        <v/>
      </c>
    </row>
    <row r="7" ht="20.25" customHeight="1" s="50">
      <c r="A7" s="55" t="n"/>
      <c r="B7" s="11" t="inlineStr">
        <is>
          <t>0.85CM厚37#海绵（复合）</t>
        </is>
      </c>
      <c r="C7" s="16" t="inlineStr">
        <is>
          <t>灰色</t>
        </is>
      </c>
      <c r="D7" s="11" t="inlineStr">
        <is>
          <t>米</t>
        </is>
      </c>
      <c r="E7" s="11" t="n">
        <v>1.53</v>
      </c>
      <c r="F7" s="54" t="n">
        <v>0.079</v>
      </c>
      <c r="G7" s="55" t="n"/>
      <c r="H7" s="11">
        <f>F7*$G$5</f>
        <v/>
      </c>
    </row>
    <row r="8" ht="14.25" customHeight="1" s="50">
      <c r="A8" s="55" t="n"/>
      <c r="B8" s="18" t="inlineStr">
        <is>
          <t>38*8.2白色塑胶圈200克</t>
        </is>
      </c>
      <c r="C8" s="18" t="inlineStr">
        <is>
          <t>黑色</t>
        </is>
      </c>
      <c r="D8" s="18" t="inlineStr">
        <is>
          <t>个</t>
        </is>
      </c>
      <c r="E8" s="18" t="inlineStr">
        <is>
          <t>38*8.2</t>
        </is>
      </c>
      <c r="F8" s="57" t="n">
        <v>1</v>
      </c>
      <c r="G8" s="55" t="n"/>
      <c r="H8" s="11">
        <f>F8*$G$5</f>
        <v/>
      </c>
    </row>
    <row r="9" ht="20.25" customHeight="1" s="50">
      <c r="A9" s="55" t="n"/>
      <c r="B9" s="11" t="inlineStr">
        <is>
          <t>0.85CM厚37#海绵（里衬）</t>
        </is>
      </c>
      <c r="C9" s="16" t="inlineStr">
        <is>
          <t>白色</t>
        </is>
      </c>
      <c r="D9" s="11" t="inlineStr">
        <is>
          <t>米</t>
        </is>
      </c>
      <c r="E9" s="20" t="n">
        <v>1.5</v>
      </c>
      <c r="F9" s="58" t="n">
        <v>0.06</v>
      </c>
      <c r="G9" s="55" t="n"/>
      <c r="H9" s="11">
        <f>F9*$G$5</f>
        <v/>
      </c>
    </row>
    <row r="10" ht="14.25" customHeight="1" s="50">
      <c r="A10" s="59" t="n"/>
      <c r="B10" s="9" t="inlineStr">
        <is>
          <t>线</t>
        </is>
      </c>
      <c r="C10" s="9" t="n"/>
      <c r="D10" s="9" t="n"/>
      <c r="E10" s="9" t="n"/>
      <c r="F10" s="60" t="n"/>
      <c r="G10" s="59" t="n"/>
      <c r="H10" s="9" t="n"/>
    </row>
    <row r="11" ht="20.25" customHeight="1" s="50">
      <c r="A11" s="53" t="inlineStr">
        <is>
          <t>JX-163146-1</t>
        </is>
      </c>
      <c r="B11" s="11" t="inlineStr">
        <is>
          <t>002冲孔皮革拉毛底</t>
        </is>
      </c>
      <c r="C11" s="12" t="inlineStr">
        <is>
          <t>黑色</t>
        </is>
      </c>
      <c r="D11" s="11" t="inlineStr">
        <is>
          <t>米</t>
        </is>
      </c>
      <c r="E11" s="11" t="n">
        <v>1.45</v>
      </c>
      <c r="F11" s="54" t="n">
        <v>0.105</v>
      </c>
      <c r="G11" s="9" t="n">
        <v>300</v>
      </c>
      <c r="H11" s="11">
        <f>F11*$G$11</f>
        <v/>
      </c>
    </row>
    <row r="12" ht="20.25" customHeight="1" s="50">
      <c r="A12" s="55" t="n"/>
      <c r="B12" s="56" t="inlineStr">
        <is>
          <t>麂皮绒（有弹力）-需复合(0.85CM厚37#海绵*灰色)</t>
        </is>
      </c>
      <c r="C12" s="12" t="inlineStr">
        <is>
          <t>黑色</t>
        </is>
      </c>
      <c r="D12" s="11" t="inlineStr">
        <is>
          <t>米</t>
        </is>
      </c>
      <c r="E12" s="11" t="n">
        <v>1.5</v>
      </c>
      <c r="F12" s="54" t="n">
        <v>0.089</v>
      </c>
      <c r="G12" s="55" t="n"/>
      <c r="H12" s="11">
        <f>F12*$G$11</f>
        <v/>
      </c>
    </row>
    <row r="13" ht="20.25" customHeight="1" s="50">
      <c r="A13" s="55" t="n"/>
      <c r="B13" s="11" t="inlineStr">
        <is>
          <t>0.85CM厚37#海绵（复合）</t>
        </is>
      </c>
      <c r="C13" s="16" t="inlineStr">
        <is>
          <t>灰色</t>
        </is>
      </c>
      <c r="D13" s="11" t="inlineStr">
        <is>
          <t>米</t>
        </is>
      </c>
      <c r="E13" s="11" t="n">
        <v>1.53</v>
      </c>
      <c r="F13" s="54" t="n">
        <v>0.089</v>
      </c>
      <c r="G13" s="55" t="n"/>
      <c r="H13" s="11">
        <f>F13*$G$11</f>
        <v/>
      </c>
    </row>
    <row r="14" ht="14.25" customHeight="1" s="50">
      <c r="A14" s="55" t="n"/>
      <c r="B14" s="18" t="inlineStr">
        <is>
          <t>38*8.2白色塑胶圈200克</t>
        </is>
      </c>
      <c r="C14" s="18" t="inlineStr">
        <is>
          <t>黑色</t>
        </is>
      </c>
      <c r="D14" s="18" t="inlineStr">
        <is>
          <t>个</t>
        </is>
      </c>
      <c r="E14" s="18" t="inlineStr">
        <is>
          <t>38*8.2</t>
        </is>
      </c>
      <c r="F14" s="57" t="n">
        <v>1</v>
      </c>
      <c r="G14" s="55" t="n"/>
      <c r="H14" s="11">
        <f>F14*$G$11</f>
        <v/>
      </c>
    </row>
    <row r="15" ht="20.25" customHeight="1" s="50">
      <c r="A15" s="55" t="n"/>
      <c r="B15" s="11" t="inlineStr">
        <is>
          <t>0.85CM厚37#海绵（里衬）</t>
        </is>
      </c>
      <c r="C15" s="16" t="inlineStr">
        <is>
          <t>白色</t>
        </is>
      </c>
      <c r="D15" s="11" t="inlineStr">
        <is>
          <t>米</t>
        </is>
      </c>
      <c r="E15" s="20" t="n">
        <v>1.5</v>
      </c>
      <c r="F15" s="54" t="n">
        <v>0.066</v>
      </c>
      <c r="G15" s="55" t="n"/>
      <c r="H15" s="11">
        <f>F15*$G$11</f>
        <v/>
      </c>
    </row>
    <row r="16" ht="14.25" customHeight="1" s="50">
      <c r="A16" s="59" t="n"/>
      <c r="B16" s="9" t="inlineStr">
        <is>
          <t>线</t>
        </is>
      </c>
      <c r="C16" s="9" t="n"/>
      <c r="D16" s="9" t="n"/>
      <c r="E16" s="9" t="n"/>
      <c r="F16" s="60" t="n"/>
      <c r="G16" s="59" t="n"/>
      <c r="H16" s="9" t="n"/>
    </row>
    <row r="17" ht="14.25" customHeight="1" s="50">
      <c r="A17" s="61" t="inlineStr">
        <is>
          <t>JX-203017-1 BLACK+GREY</t>
        </is>
      </c>
      <c r="B17" s="28" t="inlineStr">
        <is>
          <t>C63皮革拉毛底*白底</t>
        </is>
      </c>
      <c r="C17" s="11" t="inlineStr">
        <is>
          <t>黑色</t>
        </is>
      </c>
      <c r="D17" s="11" t="inlineStr">
        <is>
          <t>米</t>
        </is>
      </c>
      <c r="E17" s="11" t="n">
        <v>1.42</v>
      </c>
      <c r="F17" s="54" t="n">
        <v>0.018</v>
      </c>
      <c r="G17" s="9" t="n">
        <v>275</v>
      </c>
      <c r="H17" s="11">
        <f>F17*$G$17</f>
        <v/>
      </c>
    </row>
    <row r="18" ht="14.25" customHeight="1" s="50">
      <c r="A18" s="55" t="n"/>
      <c r="B18" s="11" t="inlineStr">
        <is>
          <t>002冲孔皮革拉毛底</t>
        </is>
      </c>
      <c r="C18" s="11" t="inlineStr">
        <is>
          <t>黑色</t>
        </is>
      </c>
      <c r="D18" s="11" t="inlineStr">
        <is>
          <t>米</t>
        </is>
      </c>
      <c r="E18" s="11" t="n">
        <v>1.45</v>
      </c>
      <c r="F18" s="54" t="n">
        <v>0.048</v>
      </c>
      <c r="G18" s="55" t="n"/>
      <c r="H18" s="11">
        <f>F18*$G$17</f>
        <v/>
      </c>
    </row>
    <row r="19" ht="20.25" customHeight="1" s="50">
      <c r="A19" s="55" t="n"/>
      <c r="B19" s="15" t="inlineStr">
        <is>
          <t>塑料PVC丝</t>
        </is>
      </c>
      <c r="C19" s="30" t="inlineStr">
        <is>
          <t>灰色</t>
        </is>
      </c>
      <c r="D19" s="11" t="inlineStr">
        <is>
          <t>米</t>
        </is>
      </c>
      <c r="E19" s="11" t="inlineStr">
        <is>
          <t>/</t>
        </is>
      </c>
      <c r="F19" s="62" t="n">
        <v>1.36</v>
      </c>
      <c r="G19" s="55" t="n"/>
      <c r="H19" s="11">
        <f>F19*$G$17</f>
        <v/>
      </c>
    </row>
    <row r="20" ht="93" customHeight="1" s="50">
      <c r="A20" s="55" t="n"/>
      <c r="B20" s="63" t="inlineStr">
        <is>
          <t>八米网布*需复合        （衬底用要单复，有库存边角料的先用库存下料）(0.2CM复合海绵16#*灰色)</t>
        </is>
      </c>
      <c r="C20" s="12" t="inlineStr">
        <is>
          <t>灰色</t>
        </is>
      </c>
      <c r="D20" s="11" t="inlineStr">
        <is>
          <t>米</t>
        </is>
      </c>
      <c r="E20" s="11" t="n">
        <v>1.8</v>
      </c>
      <c r="F20" s="64" t="n">
        <v>0.051</v>
      </c>
      <c r="G20" s="55" t="n"/>
      <c r="H20" s="11">
        <f>F20*$G$17</f>
        <v/>
      </c>
    </row>
    <row r="21" ht="14.25" customHeight="1" s="50">
      <c r="A21" s="55" t="n"/>
      <c r="B21" s="34" t="inlineStr">
        <is>
          <t>0.2CM复合海绵16#</t>
        </is>
      </c>
      <c r="C21" s="15" t="inlineStr">
        <is>
          <t>灰色</t>
        </is>
      </c>
      <c r="D21" s="11" t="inlineStr">
        <is>
          <t>米</t>
        </is>
      </c>
      <c r="E21" s="11" t="n">
        <v>1.83</v>
      </c>
      <c r="F21" s="64" t="n">
        <v>0.051</v>
      </c>
      <c r="G21" s="55" t="n"/>
      <c r="H21" s="11">
        <f>F21*$G$17</f>
        <v/>
      </c>
    </row>
    <row r="22" ht="20.25" customHeight="1" s="50">
      <c r="A22" s="55" t="n"/>
      <c r="B22" s="35" t="inlineStr">
        <is>
          <t>大8字镂空皮丁*周</t>
        </is>
      </c>
      <c r="C22" s="36" t="inlineStr">
        <is>
          <t>黑色</t>
        </is>
      </c>
      <c r="D22" s="11" t="inlineStr">
        <is>
          <t>片</t>
        </is>
      </c>
      <c r="E22" s="11" t="inlineStr">
        <is>
          <t>25.5X13.5</t>
        </is>
      </c>
      <c r="F22" s="65" t="n">
        <v>2</v>
      </c>
      <c r="G22" s="55" t="n"/>
      <c r="H22" s="11">
        <f>F22*$G$17</f>
        <v/>
      </c>
    </row>
    <row r="23" ht="14.25" customHeight="1" s="50">
      <c r="A23" s="55" t="n"/>
      <c r="B23" s="9" t="inlineStr">
        <is>
          <t>38*8.2白色塑胶圈200克</t>
        </is>
      </c>
      <c r="C23" s="9" t="inlineStr">
        <is>
          <t>黑色</t>
        </is>
      </c>
      <c r="D23" s="9" t="inlineStr">
        <is>
          <t>个</t>
        </is>
      </c>
      <c r="E23" s="9" t="inlineStr">
        <is>
          <t>38*8.2</t>
        </is>
      </c>
      <c r="F23" s="66" t="n">
        <v>1</v>
      </c>
      <c r="G23" s="55" t="n"/>
      <c r="H23" s="11">
        <f>F23*$G$17</f>
        <v/>
      </c>
    </row>
    <row r="24" ht="14.25" customHeight="1" s="50">
      <c r="A24" s="55" t="n"/>
      <c r="B24" s="9" t="inlineStr">
        <is>
          <t>0.18CM厚/EVA内衬</t>
        </is>
      </c>
      <c r="C24" s="9" t="inlineStr">
        <is>
          <t>黑色</t>
        </is>
      </c>
      <c r="D24" s="9" t="inlineStr">
        <is>
          <t>米</t>
        </is>
      </c>
      <c r="E24" s="9" t="n">
        <v>1.5</v>
      </c>
      <c r="F24" s="60" t="n">
        <v>0.06</v>
      </c>
      <c r="G24" s="55" t="n"/>
      <c r="H24" s="11">
        <f>F24*$G$17</f>
        <v/>
      </c>
    </row>
    <row r="25" ht="14.25" customHeight="1" s="50">
      <c r="A25" s="59" t="n"/>
      <c r="B25" s="9" t="inlineStr">
        <is>
          <t>线</t>
        </is>
      </c>
      <c r="C25" s="9" t="n"/>
      <c r="D25" s="9" t="n"/>
      <c r="E25" s="9" t="n"/>
      <c r="F25" s="60" t="n"/>
      <c r="G25" s="59" t="n"/>
      <c r="H25" s="9" t="n"/>
    </row>
    <row r="26" ht="14.25" customHeight="1" s="50">
      <c r="A26" s="61" t="inlineStr">
        <is>
          <t>JX-203017-2 BLACK+BLUE</t>
        </is>
      </c>
      <c r="B26" s="28" t="inlineStr">
        <is>
          <t>C63皮革拉毛底*白底</t>
        </is>
      </c>
      <c r="C26" s="11" t="inlineStr">
        <is>
          <t>黑色</t>
        </is>
      </c>
      <c r="D26" s="11" t="inlineStr">
        <is>
          <t>米</t>
        </is>
      </c>
      <c r="E26" s="11" t="n">
        <v>1.42</v>
      </c>
      <c r="F26" s="54" t="n">
        <v>0.018</v>
      </c>
      <c r="G26" s="9" t="n">
        <v>100</v>
      </c>
      <c r="H26" s="11">
        <f>F26*$G$26</f>
        <v/>
      </c>
    </row>
    <row r="27" ht="14.25" customHeight="1" s="50">
      <c r="A27" s="55" t="n"/>
      <c r="B27" s="11" t="inlineStr">
        <is>
          <t>002冲孔皮革拉毛底</t>
        </is>
      </c>
      <c r="C27" s="11" t="inlineStr">
        <is>
          <t>黑色</t>
        </is>
      </c>
      <c r="D27" s="11" t="inlineStr">
        <is>
          <t>米</t>
        </is>
      </c>
      <c r="E27" s="11" t="n">
        <v>1.45</v>
      </c>
      <c r="F27" s="54" t="n">
        <v>0.048</v>
      </c>
      <c r="G27" s="55" t="n"/>
      <c r="H27" s="11">
        <f>F27*$G$26</f>
        <v/>
      </c>
    </row>
    <row r="28" ht="20.25" customHeight="1" s="50">
      <c r="A28" s="55" t="n"/>
      <c r="B28" s="15" t="inlineStr">
        <is>
          <t>塑料PVC丝</t>
        </is>
      </c>
      <c r="C28" s="30" t="inlineStr">
        <is>
          <t>蓝色</t>
        </is>
      </c>
      <c r="D28" s="11" t="inlineStr">
        <is>
          <t>米</t>
        </is>
      </c>
      <c r="E28" s="11" t="inlineStr">
        <is>
          <t>/</t>
        </is>
      </c>
      <c r="F28" s="62" t="n">
        <v>1.36</v>
      </c>
      <c r="G28" s="55" t="n"/>
      <c r="H28" s="11">
        <f>F28*$G$26</f>
        <v/>
      </c>
    </row>
    <row r="29" ht="96" customHeight="1" s="50">
      <c r="A29" s="55" t="n"/>
      <c r="B29" s="63" t="inlineStr">
        <is>
          <t>八米网布*需复合        （衬底用要单复，有库存边角料的先用库存下料）(0.2CM复合海绵16#*灰色)</t>
        </is>
      </c>
      <c r="C29" s="12" t="inlineStr">
        <is>
          <t>蓝色</t>
        </is>
      </c>
      <c r="D29" s="11" t="inlineStr">
        <is>
          <t>米</t>
        </is>
      </c>
      <c r="E29" s="11" t="n">
        <v>1.8</v>
      </c>
      <c r="F29" s="64" t="n">
        <v>0.051</v>
      </c>
      <c r="G29" s="55" t="n"/>
      <c r="H29" s="11">
        <f>F29*$G$26</f>
        <v/>
      </c>
    </row>
    <row r="30" ht="14.25" customHeight="1" s="50">
      <c r="A30" s="55" t="n"/>
      <c r="B30" s="34" t="inlineStr">
        <is>
          <t>0.2CM复合海绵16#</t>
        </is>
      </c>
      <c r="C30" s="15" t="inlineStr">
        <is>
          <t>灰色</t>
        </is>
      </c>
      <c r="D30" s="11" t="inlineStr">
        <is>
          <t>米</t>
        </is>
      </c>
      <c r="E30" s="11" t="n">
        <v>1.83</v>
      </c>
      <c r="F30" s="64" t="n">
        <v>0.051</v>
      </c>
      <c r="G30" s="55" t="n"/>
      <c r="H30" s="11">
        <f>F30*$G$26</f>
        <v/>
      </c>
    </row>
    <row r="31" ht="20.25" customHeight="1" s="50">
      <c r="A31" s="55" t="n"/>
      <c r="B31" s="35" t="inlineStr">
        <is>
          <t>大8字镂空皮丁*周</t>
        </is>
      </c>
      <c r="C31" s="36" t="inlineStr">
        <is>
          <t>黑色</t>
        </is>
      </c>
      <c r="D31" s="11" t="inlineStr">
        <is>
          <t>片</t>
        </is>
      </c>
      <c r="E31" s="11" t="inlineStr">
        <is>
          <t>25.5X13.5</t>
        </is>
      </c>
      <c r="F31" s="65" t="n">
        <v>2</v>
      </c>
      <c r="G31" s="55" t="n"/>
      <c r="H31" s="11">
        <f>F31*$G$26</f>
        <v/>
      </c>
    </row>
    <row r="32" ht="14.25" customHeight="1" s="50">
      <c r="A32" s="55" t="n"/>
      <c r="B32" s="9" t="inlineStr">
        <is>
          <t>38*8.2白色塑胶圈200克</t>
        </is>
      </c>
      <c r="C32" s="9" t="inlineStr">
        <is>
          <t>黑色</t>
        </is>
      </c>
      <c r="D32" s="9" t="inlineStr">
        <is>
          <t>个</t>
        </is>
      </c>
      <c r="E32" s="9" t="inlineStr">
        <is>
          <t>38*8.2</t>
        </is>
      </c>
      <c r="F32" s="66" t="n">
        <v>1</v>
      </c>
      <c r="G32" s="55" t="n"/>
      <c r="H32" s="11">
        <f>F32*$G$26</f>
        <v/>
      </c>
    </row>
    <row r="33" ht="14.25" customHeight="1" s="50">
      <c r="A33" s="55" t="n"/>
      <c r="B33" s="9" t="inlineStr">
        <is>
          <t>0.18CM厚/EVA内衬</t>
        </is>
      </c>
      <c r="C33" s="9" t="inlineStr">
        <is>
          <t>黑色</t>
        </is>
      </c>
      <c r="D33" s="9" t="inlineStr">
        <is>
          <t>米</t>
        </is>
      </c>
      <c r="E33" s="9" t="n">
        <v>1.5</v>
      </c>
      <c r="F33" s="60" t="n">
        <v>0.06</v>
      </c>
      <c r="G33" s="55" t="n"/>
      <c r="H33" s="11">
        <f>F33*$G$26</f>
        <v/>
      </c>
    </row>
    <row r="34" ht="14.25" customHeight="1" s="50">
      <c r="A34" s="59" t="n"/>
      <c r="B34" s="9" t="inlineStr">
        <is>
          <t>线</t>
        </is>
      </c>
      <c r="C34" s="9" t="n"/>
      <c r="D34" s="9" t="n"/>
      <c r="E34" s="9" t="n"/>
      <c r="F34" s="60" t="n"/>
      <c r="G34" s="59" t="n"/>
      <c r="H34" s="9" t="n"/>
    </row>
    <row r="35" ht="14.25" customHeight="1" s="50">
      <c r="A35" s="61" t="inlineStr">
        <is>
          <t>JX-203017-3 BLACK+WHITE</t>
        </is>
      </c>
      <c r="B35" s="28" t="inlineStr">
        <is>
          <t>C63皮革拉毛底*白底</t>
        </is>
      </c>
      <c r="C35" s="11" t="inlineStr">
        <is>
          <t>黑色</t>
        </is>
      </c>
      <c r="D35" s="11" t="inlineStr">
        <is>
          <t>米</t>
        </is>
      </c>
      <c r="E35" s="11" t="n">
        <v>1.42</v>
      </c>
      <c r="F35" s="54" t="n">
        <v>0.018</v>
      </c>
      <c r="G35" s="9" t="n">
        <v>200</v>
      </c>
      <c r="H35" s="11">
        <f>F35*$G$35</f>
        <v/>
      </c>
    </row>
    <row r="36" ht="14.25" customHeight="1" s="50">
      <c r="A36" s="55" t="n"/>
      <c r="B36" s="11" t="inlineStr">
        <is>
          <t>002冲孔皮革拉毛底</t>
        </is>
      </c>
      <c r="C36" s="11" t="inlineStr">
        <is>
          <t>黑色</t>
        </is>
      </c>
      <c r="D36" s="11" t="inlineStr">
        <is>
          <t>米</t>
        </is>
      </c>
      <c r="E36" s="11" t="n">
        <v>1.45</v>
      </c>
      <c r="F36" s="54" t="n">
        <v>0.048</v>
      </c>
      <c r="G36" s="55" t="n"/>
      <c r="H36" s="11">
        <f>F36*$G$35</f>
        <v/>
      </c>
    </row>
    <row r="37" ht="20.25" customHeight="1" s="50">
      <c r="A37" s="55" t="n"/>
      <c r="B37" s="15" t="inlineStr">
        <is>
          <t>塑料PVC丝</t>
        </is>
      </c>
      <c r="C37" s="30" t="inlineStr">
        <is>
          <t>白色</t>
        </is>
      </c>
      <c r="D37" s="11" t="inlineStr">
        <is>
          <t>米</t>
        </is>
      </c>
      <c r="E37" s="11" t="inlineStr">
        <is>
          <t>/</t>
        </is>
      </c>
      <c r="F37" s="62" t="n">
        <v>1.36</v>
      </c>
      <c r="G37" s="55" t="n"/>
      <c r="H37" s="11">
        <f>F37*$G$35</f>
        <v/>
      </c>
    </row>
    <row r="38" ht="74" customHeight="1" s="50">
      <c r="A38" s="55" t="n"/>
      <c r="B38" s="63" t="inlineStr">
        <is>
          <t>八米网布*需复合        （衬底用要单复，有库存边角料的先用库存下料）(0.2CM复合海绵16#*灰色)</t>
        </is>
      </c>
      <c r="C38" s="12" t="inlineStr">
        <is>
          <t>白色</t>
        </is>
      </c>
      <c r="D38" s="11" t="inlineStr">
        <is>
          <t>米</t>
        </is>
      </c>
      <c r="E38" s="11" t="n">
        <v>1.8</v>
      </c>
      <c r="F38" s="64" t="n">
        <v>0.051</v>
      </c>
      <c r="G38" s="55" t="n"/>
      <c r="H38" s="11">
        <f>F38*$G$35</f>
        <v/>
      </c>
    </row>
    <row r="39" ht="14.25" customHeight="1" s="50">
      <c r="A39" s="55" t="n"/>
      <c r="B39" s="34" t="inlineStr">
        <is>
          <t>0.2CM复合海绵16#</t>
        </is>
      </c>
      <c r="C39" s="15" t="inlineStr">
        <is>
          <t>灰色</t>
        </is>
      </c>
      <c r="D39" s="11" t="inlineStr">
        <is>
          <t>米</t>
        </is>
      </c>
      <c r="E39" s="11" t="n">
        <v>1.83</v>
      </c>
      <c r="F39" s="64" t="n">
        <v>0.051</v>
      </c>
      <c r="G39" s="55" t="n"/>
      <c r="H39" s="11">
        <f>F39*$G$35</f>
        <v/>
      </c>
    </row>
    <row r="40" ht="20.25" customHeight="1" s="50">
      <c r="A40" s="55" t="n"/>
      <c r="B40" s="35" t="inlineStr">
        <is>
          <t>大8字镂空皮丁*周</t>
        </is>
      </c>
      <c r="C40" s="36" t="inlineStr">
        <is>
          <t>黑色</t>
        </is>
      </c>
      <c r="D40" s="11" t="inlineStr">
        <is>
          <t>片</t>
        </is>
      </c>
      <c r="E40" s="11" t="inlineStr">
        <is>
          <t>25.5X13.5</t>
        </is>
      </c>
      <c r="F40" s="65" t="n">
        <v>2</v>
      </c>
      <c r="G40" s="55" t="n"/>
      <c r="H40" s="11">
        <f>F40*$G$35</f>
        <v/>
      </c>
    </row>
    <row r="41" ht="14.25" customHeight="1" s="50">
      <c r="A41" s="55" t="n"/>
      <c r="B41" s="9" t="inlineStr">
        <is>
          <t>38*8.2白色塑胶圈200克</t>
        </is>
      </c>
      <c r="C41" s="9" t="inlineStr">
        <is>
          <t>黑色</t>
        </is>
      </c>
      <c r="D41" s="9" t="inlineStr">
        <is>
          <t>个</t>
        </is>
      </c>
      <c r="E41" s="9" t="inlineStr">
        <is>
          <t>38*8.2</t>
        </is>
      </c>
      <c r="F41" s="66" t="n">
        <v>1</v>
      </c>
      <c r="G41" s="55" t="n"/>
      <c r="H41" s="11">
        <f>F41*$G$35</f>
        <v/>
      </c>
    </row>
    <row r="42" ht="14.25" customHeight="1" s="50">
      <c r="A42" s="55" t="n"/>
      <c r="B42" s="9" t="inlineStr">
        <is>
          <t>0.18CM厚/EVA内衬</t>
        </is>
      </c>
      <c r="C42" s="9" t="inlineStr">
        <is>
          <t>黑色</t>
        </is>
      </c>
      <c r="D42" s="9" t="inlineStr">
        <is>
          <t>米</t>
        </is>
      </c>
      <c r="E42" s="9" t="n">
        <v>1.5</v>
      </c>
      <c r="F42" s="60" t="n">
        <v>0.06</v>
      </c>
      <c r="G42" s="55" t="n"/>
      <c r="H42" s="11">
        <f>F42*$G$35</f>
        <v/>
      </c>
    </row>
    <row r="43" ht="14.25" customHeight="1" s="50">
      <c r="A43" s="59" t="n"/>
      <c r="B43" s="9" t="inlineStr">
        <is>
          <t>线</t>
        </is>
      </c>
      <c r="C43" s="9" t="n"/>
      <c r="D43" s="9" t="n"/>
      <c r="E43" s="9" t="n"/>
      <c r="F43" s="60" t="n"/>
      <c r="G43" s="59" t="n"/>
      <c r="H43" s="9" t="n"/>
    </row>
    <row r="44" ht="14.25" customHeight="1" s="50">
      <c r="A44" s="61" t="inlineStr">
        <is>
          <t>JX-203017-4 BLACK+RED</t>
        </is>
      </c>
      <c r="B44" s="28" t="inlineStr">
        <is>
          <t>C63皮革拉毛底*白底</t>
        </is>
      </c>
      <c r="C44" s="11" t="inlineStr">
        <is>
          <t>黑色</t>
        </is>
      </c>
      <c r="D44" s="11" t="inlineStr">
        <is>
          <t>米</t>
        </is>
      </c>
      <c r="E44" s="11" t="n">
        <v>1.42</v>
      </c>
      <c r="F44" s="54" t="n">
        <v>0.018</v>
      </c>
      <c r="G44" s="9" t="n">
        <v>200</v>
      </c>
      <c r="H44" s="11">
        <f>F44*$G$44</f>
        <v/>
      </c>
    </row>
    <row r="45" ht="14.25" customHeight="1" s="50">
      <c r="A45" s="55" t="n"/>
      <c r="B45" s="11" t="inlineStr">
        <is>
          <t>002冲孔皮革拉毛底</t>
        </is>
      </c>
      <c r="C45" s="11" t="inlineStr">
        <is>
          <t>黑色</t>
        </is>
      </c>
      <c r="D45" s="11" t="inlineStr">
        <is>
          <t>米</t>
        </is>
      </c>
      <c r="E45" s="11" t="n">
        <v>1.45</v>
      </c>
      <c r="F45" s="54" t="n">
        <v>0.048</v>
      </c>
      <c r="G45" s="55" t="n"/>
      <c r="H45" s="11">
        <f>F45*$G$44</f>
        <v/>
      </c>
    </row>
    <row r="46" ht="20.25" customHeight="1" s="50">
      <c r="A46" s="55" t="n"/>
      <c r="B46" s="15" t="inlineStr">
        <is>
          <t>塑料PVC丝</t>
        </is>
      </c>
      <c r="C46" s="30" t="inlineStr">
        <is>
          <t>红色</t>
        </is>
      </c>
      <c r="D46" s="11" t="inlineStr">
        <is>
          <t>米</t>
        </is>
      </c>
      <c r="E46" s="11" t="inlineStr">
        <is>
          <t>/</t>
        </is>
      </c>
      <c r="F46" s="62" t="n">
        <v>1.36</v>
      </c>
      <c r="G46" s="55" t="n"/>
      <c r="H46" s="11">
        <f>F46*$G$44</f>
        <v/>
      </c>
    </row>
    <row r="47" ht="122" customHeight="1" s="50">
      <c r="A47" s="55" t="n"/>
      <c r="B47" s="63" t="inlineStr">
        <is>
          <t>八米网布*需复合        （衬底用要单复，有库存边角料的先用库存下料）(0.2CM复合海绵16#*灰色)</t>
        </is>
      </c>
      <c r="C47" s="12" t="inlineStr">
        <is>
          <t>红色</t>
        </is>
      </c>
      <c r="D47" s="11" t="inlineStr">
        <is>
          <t>米</t>
        </is>
      </c>
      <c r="E47" s="11" t="n">
        <v>1.8</v>
      </c>
      <c r="F47" s="64" t="n">
        <v>0.051</v>
      </c>
      <c r="G47" s="55" t="n"/>
      <c r="H47" s="11">
        <f>F47*$G$44</f>
        <v/>
      </c>
    </row>
    <row r="48" ht="14.25" customHeight="1" s="50">
      <c r="A48" s="55" t="n"/>
      <c r="B48" s="34" t="inlineStr">
        <is>
          <t>0.2CM复合海绵16#</t>
        </is>
      </c>
      <c r="C48" s="15" t="inlineStr">
        <is>
          <t>灰色</t>
        </is>
      </c>
      <c r="D48" s="11" t="inlineStr">
        <is>
          <t>米</t>
        </is>
      </c>
      <c r="E48" s="11" t="n">
        <v>1.83</v>
      </c>
      <c r="F48" s="64" t="n">
        <v>0.051</v>
      </c>
      <c r="G48" s="55" t="n"/>
      <c r="H48" s="11">
        <f>F48*$G$44</f>
        <v/>
      </c>
    </row>
    <row r="49" ht="20.25" customHeight="1" s="50">
      <c r="A49" s="55" t="n"/>
      <c r="B49" s="35" t="inlineStr">
        <is>
          <t>大8字镂空皮丁*周</t>
        </is>
      </c>
      <c r="C49" s="36" t="inlineStr">
        <is>
          <t>黑色</t>
        </is>
      </c>
      <c r="D49" s="11" t="inlineStr">
        <is>
          <t>片</t>
        </is>
      </c>
      <c r="E49" s="11" t="inlineStr">
        <is>
          <t>25.5X13.5</t>
        </is>
      </c>
      <c r="F49" s="65" t="n">
        <v>2</v>
      </c>
      <c r="G49" s="55" t="n"/>
      <c r="H49" s="11">
        <f>F49*$G$44</f>
        <v/>
      </c>
    </row>
    <row r="50" ht="14.25" customHeight="1" s="50">
      <c r="A50" s="55" t="n"/>
      <c r="B50" s="9" t="inlineStr">
        <is>
          <t>38*8.2白色塑胶圈200克</t>
        </is>
      </c>
      <c r="C50" s="9" t="inlineStr">
        <is>
          <t>黑色</t>
        </is>
      </c>
      <c r="D50" s="9" t="inlineStr">
        <is>
          <t>个</t>
        </is>
      </c>
      <c r="E50" s="9" t="inlineStr">
        <is>
          <t>38*8.2</t>
        </is>
      </c>
      <c r="F50" s="66" t="n">
        <v>1</v>
      </c>
      <c r="G50" s="55" t="n"/>
      <c r="H50" s="11">
        <f>F50*$G$44</f>
        <v/>
      </c>
    </row>
    <row r="51" ht="14.25" customHeight="1" s="50">
      <c r="A51" s="55" t="n"/>
      <c r="B51" s="9" t="inlineStr">
        <is>
          <t>0.18CM厚/EVA内衬</t>
        </is>
      </c>
      <c r="C51" s="9" t="inlineStr">
        <is>
          <t>黑色</t>
        </is>
      </c>
      <c r="D51" s="9" t="inlineStr">
        <is>
          <t>米</t>
        </is>
      </c>
      <c r="E51" s="9" t="n">
        <v>1.5</v>
      </c>
      <c r="F51" s="60" t="n">
        <v>0.06</v>
      </c>
      <c r="G51" s="55" t="n"/>
      <c r="H51" s="11">
        <f>F51*$G$44</f>
        <v/>
      </c>
    </row>
    <row r="52" ht="14.25" customHeight="1" s="50">
      <c r="A52" s="59" t="n"/>
      <c r="B52" s="9" t="inlineStr">
        <is>
          <t>线</t>
        </is>
      </c>
      <c r="C52" s="9" t="n"/>
      <c r="D52" s="9" t="n"/>
      <c r="E52" s="9" t="n"/>
      <c r="F52" s="60" t="n"/>
      <c r="G52" s="59" t="n"/>
      <c r="H52" s="9" t="n"/>
    </row>
    <row r="53" ht="20.25" customHeight="1" s="50">
      <c r="A53" s="61" t="inlineStr">
        <is>
          <t>JX-233003-1 BLACK+SILVER</t>
        </is>
      </c>
      <c r="B53" s="28" t="inlineStr">
        <is>
          <t>002冲孔皮革拉毛底</t>
        </is>
      </c>
      <c r="C53" s="30" t="inlineStr">
        <is>
          <t>黑色</t>
        </is>
      </c>
      <c r="D53" s="15" t="inlineStr">
        <is>
          <t>米</t>
        </is>
      </c>
      <c r="E53" s="15" t="n">
        <v>1.45</v>
      </c>
      <c r="F53" s="67" t="n">
        <v>0.135</v>
      </c>
      <c r="G53" s="9" t="n">
        <v>100</v>
      </c>
      <c r="H53" s="15">
        <f>F53*$G$53</f>
        <v/>
      </c>
    </row>
    <row r="54" ht="20.25" customHeight="1" s="50">
      <c r="A54" s="55" t="n"/>
      <c r="B54" s="63" t="inlineStr">
        <is>
          <t>麂皮绒（无弹力）*需复合(0.3CM复合海绵18#*灰色)</t>
        </is>
      </c>
      <c r="C54" s="30" t="inlineStr">
        <is>
          <t>黑色</t>
        </is>
      </c>
      <c r="D54" s="15" t="inlineStr">
        <is>
          <t>米</t>
        </is>
      </c>
      <c r="E54" s="11" t="n">
        <v>1.5</v>
      </c>
      <c r="F54" s="67" t="n">
        <v>0.027</v>
      </c>
      <c r="G54" s="55" t="n"/>
      <c r="H54" s="15">
        <f>F54*$G$53</f>
        <v/>
      </c>
    </row>
    <row r="55" ht="14.25" customHeight="1" s="50">
      <c r="A55" s="55" t="n"/>
      <c r="B55" s="41" t="inlineStr">
        <is>
          <t>0.3CM复合海绵18#</t>
        </is>
      </c>
      <c r="C55" s="42" t="inlineStr">
        <is>
          <t>灰色</t>
        </is>
      </c>
      <c r="D55" s="42" t="inlineStr">
        <is>
          <t>米</t>
        </is>
      </c>
      <c r="E55" s="11" t="n">
        <v>1.53</v>
      </c>
      <c r="F55" s="67" t="n">
        <v>0.027</v>
      </c>
      <c r="G55" s="55" t="n"/>
      <c r="H55" s="15">
        <f>F55*$G$53</f>
        <v/>
      </c>
    </row>
    <row r="56" ht="175" customHeight="1" s="50">
      <c r="A56" s="55" t="n"/>
      <c r="B56" s="43" t="inlineStr">
        <is>
          <t>麂皮绒（无弹力）先复合好再拿去加工烫钻，整根长度117CMX2.5CM，烫钻的范围114CM，两边留1.5CM，一定要烫牢固，烫钻具体要求同小许确认</t>
        </is>
      </c>
      <c r="C56" s="44" t="inlineStr">
        <is>
          <t>黑底银钻</t>
        </is>
      </c>
      <c r="D56" s="42" t="inlineStr">
        <is>
          <t>根</t>
        </is>
      </c>
      <c r="E56" s="11" t="inlineStr">
        <is>
          <t>2.5CM宽</t>
        </is>
      </c>
      <c r="F56" s="68" t="n">
        <v>1</v>
      </c>
      <c r="G56" s="55" t="n"/>
      <c r="H56" s="15">
        <f>F56*$G$53</f>
        <v/>
      </c>
    </row>
    <row r="57" ht="14.25" customHeight="1" s="50">
      <c r="A57" s="55" t="n"/>
      <c r="B57" s="9" t="inlineStr">
        <is>
          <t>38*8.2白色塑胶圈200克</t>
        </is>
      </c>
      <c r="C57" s="9" t="inlineStr">
        <is>
          <t>黑色</t>
        </is>
      </c>
      <c r="D57" s="9" t="inlineStr">
        <is>
          <t>个</t>
        </is>
      </c>
      <c r="E57" s="9" t="inlineStr">
        <is>
          <t>38*8.2</t>
        </is>
      </c>
      <c r="F57" s="66" t="n">
        <v>1</v>
      </c>
      <c r="G57" s="55" t="n"/>
      <c r="H57" s="15">
        <f>F57*$G$53</f>
        <v/>
      </c>
    </row>
    <row r="58" ht="14.25" customHeight="1" s="50">
      <c r="A58" s="55" t="n"/>
      <c r="B58" s="9" t="inlineStr">
        <is>
          <t>0.18CM厚/EVA内衬</t>
        </is>
      </c>
      <c r="C58" s="9" t="inlineStr">
        <is>
          <t>黑色</t>
        </is>
      </c>
      <c r="D58" s="9" t="inlineStr">
        <is>
          <t>米</t>
        </is>
      </c>
      <c r="E58" s="9" t="n">
        <v>1.5</v>
      </c>
      <c r="F58" s="60" t="n">
        <v>0.06</v>
      </c>
      <c r="G58" s="55" t="n"/>
      <c r="H58" s="15">
        <f>F58*$G$53</f>
        <v/>
      </c>
    </row>
    <row r="59" ht="14.25" customHeight="1" s="50">
      <c r="A59" s="59" t="n"/>
      <c r="B59" s="9" t="inlineStr">
        <is>
          <t>线</t>
        </is>
      </c>
      <c r="C59" s="9" t="n"/>
      <c r="D59" s="9" t="n"/>
      <c r="E59" s="9" t="n"/>
      <c r="F59" s="66" t="n"/>
      <c r="G59" s="59" t="n"/>
      <c r="H59" s="9" t="n"/>
    </row>
    <row r="60" ht="20.25" customHeight="1" s="50">
      <c r="A60" s="61" t="inlineStr">
        <is>
          <t>JX-233003-2BLACK+PINK</t>
        </is>
      </c>
      <c r="B60" s="28" t="inlineStr">
        <is>
          <t>002冲孔皮革拉毛底</t>
        </is>
      </c>
      <c r="C60" s="30" t="inlineStr">
        <is>
          <t>黑色</t>
        </is>
      </c>
      <c r="D60" s="15" t="inlineStr">
        <is>
          <t>米</t>
        </is>
      </c>
      <c r="E60" s="15" t="n">
        <v>1.45</v>
      </c>
      <c r="F60" s="67" t="n">
        <v>0.135</v>
      </c>
      <c r="G60" s="9" t="n">
        <v>100</v>
      </c>
      <c r="H60" s="15">
        <f>F60*$G$60</f>
        <v/>
      </c>
    </row>
    <row r="61" ht="20.25" customHeight="1" s="50">
      <c r="A61" s="55" t="n"/>
      <c r="B61" s="63" t="inlineStr">
        <is>
          <t>麂皮绒（无弹力）*需复合(0.3CM复合海绵18#*灰色)</t>
        </is>
      </c>
      <c r="C61" s="30" t="inlineStr">
        <is>
          <t>黑色</t>
        </is>
      </c>
      <c r="D61" s="15" t="inlineStr">
        <is>
          <t>米</t>
        </is>
      </c>
      <c r="E61" s="11" t="n">
        <v>1.5</v>
      </c>
      <c r="F61" s="67" t="n">
        <v>0.027</v>
      </c>
      <c r="G61" s="55" t="n"/>
      <c r="H61" s="15">
        <f>F61*$G$60</f>
        <v/>
      </c>
    </row>
    <row r="62" ht="14.25" customHeight="1" s="50">
      <c r="A62" s="55" t="n"/>
      <c r="B62" s="41" t="inlineStr">
        <is>
          <t>0.3CM复合海绵18#</t>
        </is>
      </c>
      <c r="C62" s="42" t="inlineStr">
        <is>
          <t>灰色</t>
        </is>
      </c>
      <c r="D62" s="42" t="inlineStr">
        <is>
          <t>米</t>
        </is>
      </c>
      <c r="E62" s="11" t="n">
        <v>1.53</v>
      </c>
      <c r="F62" s="67" t="n">
        <v>0.027</v>
      </c>
      <c r="G62" s="55" t="n"/>
      <c r="H62" s="15">
        <f>F62*$G$60</f>
        <v/>
      </c>
    </row>
    <row r="63" ht="204" customHeight="1" s="50">
      <c r="A63" s="55" t="n"/>
      <c r="B63" s="43" t="inlineStr">
        <is>
          <t>麂皮绒（无弹力）先复合好再拿去加工烫钻，整根长度117CMX2.5CM，烫钻的范围114CM，两边留1.5CM，一定要烫牢固，烫钻具体要求同小许确认</t>
        </is>
      </c>
      <c r="C63" s="44" t="inlineStr">
        <is>
          <t>黑底粉钻</t>
        </is>
      </c>
      <c r="D63" s="42" t="inlineStr">
        <is>
          <t>根</t>
        </is>
      </c>
      <c r="E63" s="11" t="inlineStr">
        <is>
          <t>2.5CM宽</t>
        </is>
      </c>
      <c r="F63" s="68" t="n">
        <v>1</v>
      </c>
      <c r="G63" s="55" t="n"/>
      <c r="H63" s="15">
        <f>F63*$G$60</f>
        <v/>
      </c>
    </row>
    <row r="64" ht="14.25" customHeight="1" s="50">
      <c r="A64" s="55" t="n"/>
      <c r="B64" s="9" t="inlineStr">
        <is>
          <t>38*8.2白色塑胶圈200克</t>
        </is>
      </c>
      <c r="C64" s="9" t="inlineStr">
        <is>
          <t>黑色</t>
        </is>
      </c>
      <c r="D64" s="9" t="inlineStr">
        <is>
          <t>个</t>
        </is>
      </c>
      <c r="E64" s="9" t="inlineStr">
        <is>
          <t>38*8.2</t>
        </is>
      </c>
      <c r="F64" s="66" t="n">
        <v>1</v>
      </c>
      <c r="G64" s="55" t="n"/>
      <c r="H64" s="15">
        <f>F64*$G$60</f>
        <v/>
      </c>
    </row>
    <row r="65" ht="14.25" customHeight="1" s="50">
      <c r="A65" s="55" t="n"/>
      <c r="B65" s="9" t="inlineStr">
        <is>
          <t>0.18CM厚/EVA内衬</t>
        </is>
      </c>
      <c r="C65" s="9" t="inlineStr">
        <is>
          <t>黑色</t>
        </is>
      </c>
      <c r="D65" s="9" t="inlineStr">
        <is>
          <t>米</t>
        </is>
      </c>
      <c r="E65" s="9" t="n">
        <v>1.5</v>
      </c>
      <c r="F65" s="60" t="n">
        <v>0.06</v>
      </c>
      <c r="G65" s="55" t="n"/>
      <c r="H65" s="15">
        <f>F65*$G$60</f>
        <v/>
      </c>
    </row>
    <row r="66" ht="14.25" customHeight="1" s="50">
      <c r="A66" s="59" t="n"/>
      <c r="B66" s="9" t="inlineStr">
        <is>
          <t>线</t>
        </is>
      </c>
      <c r="C66" s="9" t="n"/>
      <c r="D66" s="9" t="n"/>
      <c r="E66" s="9" t="n"/>
      <c r="F66" s="66" t="n"/>
      <c r="G66" s="59" t="n"/>
      <c r="H66" s="9" t="n"/>
    </row>
    <row r="67" ht="20.25" customHeight="1" s="50">
      <c r="A67" s="61" t="inlineStr">
        <is>
          <t>JX-233004 BLACK+SILVER</t>
        </is>
      </c>
      <c r="B67" s="28" t="inlineStr">
        <is>
          <t>002冲孔皮革拉毛底</t>
        </is>
      </c>
      <c r="C67" s="30" t="inlineStr">
        <is>
          <t>黑色</t>
        </is>
      </c>
      <c r="D67" s="15" t="inlineStr">
        <is>
          <t>米</t>
        </is>
      </c>
      <c r="E67" s="15" t="n">
        <v>1.45</v>
      </c>
      <c r="F67" s="67" t="n">
        <v>0.135</v>
      </c>
      <c r="G67" s="9" t="n">
        <v>100</v>
      </c>
      <c r="H67" s="15">
        <f>F67*$G$67</f>
        <v/>
      </c>
    </row>
    <row r="68" ht="28.5" customHeight="1" s="50">
      <c r="A68" s="55" t="n"/>
      <c r="B68" s="63" t="inlineStr">
        <is>
          <t>麂皮绒（无弹力）*需复合    先复合好裁剪成122X24*1张可做7根，再拿去加工烫钻(0.3CM复合海绵18#*灰色)</t>
        </is>
      </c>
      <c r="C68" s="30" t="inlineStr">
        <is>
          <t>黑色</t>
        </is>
      </c>
      <c r="D68" s="15" t="inlineStr">
        <is>
          <t>米</t>
        </is>
      </c>
      <c r="E68" s="11" t="n">
        <v>1.5</v>
      </c>
      <c r="F68" s="69" t="n">
        <v>0.034</v>
      </c>
      <c r="G68" s="55" t="n"/>
      <c r="H68" s="15">
        <f>F68*$G$67</f>
        <v/>
      </c>
    </row>
    <row r="69" ht="14.25" customHeight="1" s="50">
      <c r="A69" s="55" t="n"/>
      <c r="B69" s="41" t="inlineStr">
        <is>
          <t>0.3CM复合海绵18#</t>
        </is>
      </c>
      <c r="C69" s="42" t="inlineStr">
        <is>
          <t>灰色</t>
        </is>
      </c>
      <c r="D69" s="42" t="inlineStr">
        <is>
          <t>米</t>
        </is>
      </c>
      <c r="E69" s="11" t="n">
        <v>1.53</v>
      </c>
      <c r="F69" s="69" t="n">
        <v>0.034</v>
      </c>
      <c r="G69" s="55" t="n"/>
      <c r="H69" s="15">
        <f>F69*$G$67</f>
        <v/>
      </c>
    </row>
    <row r="70" ht="105" customHeight="1" s="50">
      <c r="A70" s="55" t="n"/>
      <c r="B70" s="43" t="inlineStr">
        <is>
          <t>麂皮绒（无弹力）先复合好再拿去加工烫钻，整根长度119CMX2.5CM，烫钻的范围114CM，两边留2.5CM，一定要烫牢固，烫钻具体要求同小许确认</t>
        </is>
      </c>
      <c r="C70" s="44" t="inlineStr">
        <is>
          <t>黑底银钻</t>
        </is>
      </c>
      <c r="D70" s="42" t="inlineStr">
        <is>
          <t>根</t>
        </is>
      </c>
      <c r="E70" s="11" t="inlineStr">
        <is>
          <t>2.5CM宽</t>
        </is>
      </c>
      <c r="F70" s="68" t="n">
        <v>1</v>
      </c>
      <c r="G70" s="55" t="n"/>
      <c r="H70" s="15">
        <f>F70*$G$67</f>
        <v/>
      </c>
    </row>
    <row r="71" ht="14.25" customHeight="1" s="50">
      <c r="A71" s="55" t="n"/>
      <c r="B71" s="9" t="inlineStr">
        <is>
          <t>38*8.2白色塑胶圈200克</t>
        </is>
      </c>
      <c r="C71" s="9" t="inlineStr">
        <is>
          <t>黑色</t>
        </is>
      </c>
      <c r="D71" s="9" t="inlineStr">
        <is>
          <t>个</t>
        </is>
      </c>
      <c r="E71" s="9" t="inlineStr">
        <is>
          <t>38*8.2</t>
        </is>
      </c>
      <c r="F71" s="66" t="n">
        <v>1</v>
      </c>
      <c r="G71" s="55" t="n"/>
      <c r="H71" s="15">
        <f>F71*$G$67</f>
        <v/>
      </c>
    </row>
    <row r="72" ht="14.25" customHeight="1" s="50">
      <c r="A72" s="55" t="n"/>
      <c r="B72" s="9" t="inlineStr">
        <is>
          <t>0.18CM厚/EVA内衬</t>
        </is>
      </c>
      <c r="C72" s="9" t="inlineStr">
        <is>
          <t>黑色</t>
        </is>
      </c>
      <c r="D72" s="9" t="inlineStr">
        <is>
          <t>米</t>
        </is>
      </c>
      <c r="E72" s="9" t="n">
        <v>1.5</v>
      </c>
      <c r="F72" s="60" t="n">
        <v>0.06</v>
      </c>
      <c r="G72" s="55" t="n"/>
      <c r="H72" s="15">
        <f>F72*$G$67</f>
        <v/>
      </c>
    </row>
    <row r="73" ht="14.25" customHeight="1" s="50">
      <c r="A73" s="59" t="n"/>
      <c r="B73" s="9" t="inlineStr">
        <is>
          <t>线</t>
        </is>
      </c>
      <c r="C73" s="9" t="n"/>
      <c r="D73" s="9" t="n"/>
      <c r="E73" s="9" t="n"/>
      <c r="F73" s="66" t="n"/>
      <c r="G73" s="59" t="n"/>
      <c r="H73" s="9" t="n"/>
    </row>
    <row r="74" ht="63" customHeight="1" s="50">
      <c r="A74" s="61" t="inlineStr">
        <is>
          <t>JX-233005-5 PINK+SILVER</t>
        </is>
      </c>
      <c r="B74" s="32" t="inlineStr">
        <is>
          <t>K225*奔驰纹皮革-0.7厚*拉毛底</t>
        </is>
      </c>
      <c r="C74" s="30" t="inlineStr">
        <is>
          <t>粉色</t>
        </is>
      </c>
      <c r="D74" s="15" t="inlineStr">
        <is>
          <t>米</t>
        </is>
      </c>
      <c r="E74" s="15" t="n">
        <v>1.5</v>
      </c>
      <c r="F74" s="67" t="n">
        <v>0.135</v>
      </c>
      <c r="G74" s="9" t="n">
        <v>100</v>
      </c>
      <c r="H74" s="15">
        <f>F74*$G$74</f>
        <v/>
      </c>
    </row>
    <row r="75" ht="28.5" customHeight="1" s="50">
      <c r="A75" s="55" t="n"/>
      <c r="B75" s="63" t="inlineStr">
        <is>
          <t>麂皮绒（无弹力）*需复合    先复合好裁剪成122X24*1张可做7根，再拿去加工烫钻(0.26CM复合海绵45#*白色)</t>
        </is>
      </c>
      <c r="C75" s="30" t="inlineStr">
        <is>
          <t>粉色</t>
        </is>
      </c>
      <c r="D75" s="15" t="inlineStr">
        <is>
          <t>米</t>
        </is>
      </c>
      <c r="E75" s="11" t="n">
        <v>1.5</v>
      </c>
      <c r="F75" s="69" t="n">
        <v>0.034</v>
      </c>
      <c r="G75" s="55" t="n"/>
      <c r="H75" s="15">
        <f>F75*$G$74</f>
        <v/>
      </c>
    </row>
    <row r="76" ht="14.25" customHeight="1" s="50">
      <c r="A76" s="55" t="n"/>
      <c r="B76" s="41" t="inlineStr">
        <is>
          <t>0.26CM复合海绵45#*</t>
        </is>
      </c>
      <c r="C76" s="42" t="inlineStr">
        <is>
          <t>白色</t>
        </is>
      </c>
      <c r="D76" s="42" t="inlineStr">
        <is>
          <t>米</t>
        </is>
      </c>
      <c r="E76" s="11" t="n">
        <v>1.53</v>
      </c>
      <c r="F76" s="69" t="n">
        <v>0.034</v>
      </c>
      <c r="G76" s="55" t="n"/>
      <c r="H76" s="15">
        <f>F76*$G$74</f>
        <v/>
      </c>
    </row>
    <row r="77" ht="159" customHeight="1" s="50">
      <c r="A77" s="55" t="n"/>
      <c r="B77" s="43" t="inlineStr">
        <is>
          <t>麂皮绒（无弹力）先复合好再拿去加工烫钻，整根长度119CMX2.5CM，烫钻的范围114CM，两边留2.5CM，一定要烫牢固，烫钻具体要求同小许确认</t>
        </is>
      </c>
      <c r="C77" s="44" t="inlineStr">
        <is>
          <t>粉底银钻</t>
        </is>
      </c>
      <c r="D77" s="42" t="inlineStr">
        <is>
          <t>根</t>
        </is>
      </c>
      <c r="E77" s="11" t="inlineStr">
        <is>
          <t>2.5CM宽</t>
        </is>
      </c>
      <c r="F77" s="68" t="n">
        <v>1</v>
      </c>
      <c r="G77" s="55" t="n"/>
      <c r="H77" s="15">
        <f>F77*$G$74</f>
        <v/>
      </c>
    </row>
    <row r="78" ht="14.25" customHeight="1" s="50">
      <c r="A78" s="55" t="n"/>
      <c r="B78" s="9" t="inlineStr">
        <is>
          <t>38*8.2白色塑胶圈200克</t>
        </is>
      </c>
      <c r="C78" s="9" t="inlineStr">
        <is>
          <t>黑色</t>
        </is>
      </c>
      <c r="D78" s="9" t="inlineStr">
        <is>
          <t>个</t>
        </is>
      </c>
      <c r="E78" s="9" t="inlineStr">
        <is>
          <t>38*8.2</t>
        </is>
      </c>
      <c r="F78" s="66" t="n">
        <v>1</v>
      </c>
      <c r="G78" s="55" t="n"/>
      <c r="H78" s="15">
        <f>F78*$G$74</f>
        <v/>
      </c>
    </row>
    <row r="79" ht="14.25" customHeight="1" s="50">
      <c r="A79" s="55" t="n"/>
      <c r="B79" s="9" t="inlineStr">
        <is>
          <t>0.18CM厚/EVA内衬</t>
        </is>
      </c>
      <c r="C79" s="9" t="inlineStr">
        <is>
          <t>黑色</t>
        </is>
      </c>
      <c r="D79" s="9" t="inlineStr">
        <is>
          <t>米</t>
        </is>
      </c>
      <c r="E79" s="9" t="n">
        <v>1.5</v>
      </c>
      <c r="F79" s="60" t="n">
        <v>0.06</v>
      </c>
      <c r="G79" s="55" t="n"/>
      <c r="H79" s="15">
        <f>F79*$G$74</f>
        <v/>
      </c>
    </row>
    <row r="80" ht="14.25" customHeight="1" s="50">
      <c r="A80" s="59" t="n"/>
      <c r="B80" s="9" t="inlineStr">
        <is>
          <t>线</t>
        </is>
      </c>
      <c r="C80" s="9" t="n"/>
      <c r="D80" s="9" t="n"/>
      <c r="E80" s="9" t="n"/>
      <c r="F80" s="66" t="n"/>
      <c r="G80" s="59" t="n"/>
      <c r="H80" s="9" t="n"/>
    </row>
    <row r="81" ht="20.25" customHeight="1" s="50">
      <c r="A81" s="61" t="inlineStr">
        <is>
          <t>JX-233014-1 BLACK+RED</t>
        </is>
      </c>
      <c r="B81" s="15" t="inlineStr">
        <is>
          <t>002光皮拉毛底（左右小块）</t>
        </is>
      </c>
      <c r="C81" s="47" t="inlineStr">
        <is>
          <t>红色</t>
        </is>
      </c>
      <c r="D81" s="11" t="inlineStr">
        <is>
          <t>米</t>
        </is>
      </c>
      <c r="E81" s="11" t="n">
        <v>1.45</v>
      </c>
      <c r="F81" s="67" t="n">
        <v>0.006</v>
      </c>
      <c r="G81" s="9" t="n">
        <v>175</v>
      </c>
      <c r="H81" s="11">
        <f>F81*$G$81</f>
        <v/>
      </c>
    </row>
    <row r="82" ht="14.25" customHeight="1" s="50">
      <c r="A82" s="55" t="n"/>
      <c r="B82" s="15" t="inlineStr">
        <is>
          <t>C63皮革拉毛底*白底</t>
        </is>
      </c>
      <c r="C82" s="11" t="inlineStr">
        <is>
          <t>黑色</t>
        </is>
      </c>
      <c r="D82" s="11" t="inlineStr">
        <is>
          <t>米</t>
        </is>
      </c>
      <c r="E82" s="11" t="n">
        <v>1.48</v>
      </c>
      <c r="F82" s="67" t="n">
        <v>0.099</v>
      </c>
      <c r="G82" s="55" t="n"/>
      <c r="H82" s="11">
        <f>F82*$G$81</f>
        <v/>
      </c>
    </row>
    <row r="83" ht="14.25" customHeight="1" s="50">
      <c r="A83" s="55" t="n"/>
      <c r="B83" s="28" t="inlineStr">
        <is>
          <t>401草席纹皮革拉毛底</t>
        </is>
      </c>
      <c r="C83" s="15" t="inlineStr">
        <is>
          <t>黑色</t>
        </is>
      </c>
      <c r="D83" s="15" t="inlineStr">
        <is>
          <t>米</t>
        </is>
      </c>
      <c r="E83" s="11" t="n">
        <v>1.48</v>
      </c>
      <c r="F83" s="54" t="n">
        <v>0.052</v>
      </c>
      <c r="G83" s="55" t="n"/>
      <c r="H83" s="11">
        <f>F83*$G$81</f>
        <v/>
      </c>
    </row>
    <row r="84" ht="154" customHeight="1" s="50">
      <c r="A84" s="55" t="n"/>
      <c r="B84" s="32" t="inlineStr">
        <is>
          <t>38*8.2白色塑胶耳朵圈240克          （采购耳朵圈上下必须要有中心线点位，左右耳朵中心也要点位，便于车工套圈对位，两边做均匀）</t>
        </is>
      </c>
      <c r="C84" s="9" t="inlineStr">
        <is>
          <t>白色</t>
        </is>
      </c>
      <c r="D84" s="9" t="inlineStr">
        <is>
          <t>个</t>
        </is>
      </c>
      <c r="E84" s="9" t="inlineStr">
        <is>
          <t>38*8.2</t>
        </is>
      </c>
      <c r="F84" s="66" t="n">
        <v>1</v>
      </c>
      <c r="G84" s="55" t="n"/>
      <c r="H84" s="11">
        <f>F84*$G$81</f>
        <v/>
      </c>
    </row>
    <row r="85" ht="14.25" customHeight="1" s="50">
      <c r="A85" s="59" t="n"/>
      <c r="B85" s="9" t="inlineStr">
        <is>
          <t>线</t>
        </is>
      </c>
      <c r="C85" s="9" t="n"/>
      <c r="D85" s="9" t="n"/>
      <c r="E85" s="9" t="n"/>
      <c r="F85" s="60" t="n"/>
      <c r="G85" s="59" t="n"/>
      <c r="H85" s="9" t="n"/>
    </row>
    <row r="86" ht="20.25" customHeight="1" s="50">
      <c r="A86" s="61" t="inlineStr">
        <is>
          <t>JX-233014-2 BLACK+GREY</t>
        </is>
      </c>
      <c r="B86" s="15" t="inlineStr">
        <is>
          <t>002光皮拉毛底（左右小块）</t>
        </is>
      </c>
      <c r="C86" s="47" t="inlineStr">
        <is>
          <t>灰色</t>
        </is>
      </c>
      <c r="D86" s="11" t="inlineStr">
        <is>
          <t>米</t>
        </is>
      </c>
      <c r="E86" s="11" t="n">
        <v>1.45</v>
      </c>
      <c r="F86" s="67" t="n">
        <v>0.006</v>
      </c>
      <c r="G86" s="9" t="n">
        <v>100</v>
      </c>
      <c r="H86" s="11">
        <f>F86*$G$86</f>
        <v/>
      </c>
    </row>
    <row r="87" ht="14.25" customHeight="1" s="50">
      <c r="A87" s="55" t="n"/>
      <c r="B87" s="15" t="inlineStr">
        <is>
          <t>C63皮革拉毛底*白底</t>
        </is>
      </c>
      <c r="C87" s="11" t="inlineStr">
        <is>
          <t>黑色</t>
        </is>
      </c>
      <c r="D87" s="11" t="inlineStr">
        <is>
          <t>米</t>
        </is>
      </c>
      <c r="E87" s="11" t="n">
        <v>1.48</v>
      </c>
      <c r="F87" s="67" t="n">
        <v>0.099</v>
      </c>
      <c r="G87" s="55" t="n"/>
      <c r="H87" s="11">
        <f>F87*$G$86</f>
        <v/>
      </c>
    </row>
    <row r="88" ht="14.25" customHeight="1" s="50">
      <c r="A88" s="55" t="n"/>
      <c r="B88" s="28" t="inlineStr">
        <is>
          <t>401草席纹皮革拉毛底</t>
        </is>
      </c>
      <c r="C88" s="15" t="inlineStr">
        <is>
          <t>黑色</t>
        </is>
      </c>
      <c r="D88" s="15" t="inlineStr">
        <is>
          <t>米</t>
        </is>
      </c>
      <c r="E88" s="11" t="n">
        <v>1.48</v>
      </c>
      <c r="F88" s="54" t="n">
        <v>0.052</v>
      </c>
      <c r="G88" s="55" t="n"/>
      <c r="H88" s="11">
        <f>F88*$G$86</f>
        <v/>
      </c>
    </row>
    <row r="89" ht="167" customHeight="1" s="50">
      <c r="A89" s="55" t="n"/>
      <c r="B89" s="32" t="inlineStr">
        <is>
          <t>38*8.2白色塑胶耳朵圈240克          （采购耳朵圈上下必须要有中心线点位，左右耳朵中心也要点位，便于车工套圈对位，两边做均匀）</t>
        </is>
      </c>
      <c r="C89" s="9" t="inlineStr">
        <is>
          <t>白色</t>
        </is>
      </c>
      <c r="D89" s="9" t="inlineStr">
        <is>
          <t>个</t>
        </is>
      </c>
      <c r="E89" s="9" t="inlineStr">
        <is>
          <t>38*8.2</t>
        </is>
      </c>
      <c r="F89" s="66" t="n">
        <v>1</v>
      </c>
      <c r="G89" s="55" t="n"/>
      <c r="H89" s="11">
        <f>F89*$G$86</f>
        <v/>
      </c>
    </row>
    <row r="90" ht="14.25" customHeight="1" s="50">
      <c r="A90" s="59" t="n"/>
      <c r="B90" s="9" t="inlineStr">
        <is>
          <t>线</t>
        </is>
      </c>
      <c r="C90" s="9" t="n"/>
      <c r="D90" s="9" t="n"/>
      <c r="E90" s="9" t="n"/>
      <c r="F90" s="60" t="n"/>
      <c r="G90" s="59" t="n"/>
      <c r="H90" s="9" t="n"/>
    </row>
    <row r="91" ht="20.25" customHeight="1" s="50">
      <c r="A91" s="61" t="inlineStr">
        <is>
          <t>JX-233014-4 BLACK+BLUE</t>
        </is>
      </c>
      <c r="B91" s="15" t="inlineStr">
        <is>
          <t>002光皮拉毛底（左右小块）</t>
        </is>
      </c>
      <c r="C91" s="47" t="inlineStr">
        <is>
          <t>蓝色</t>
        </is>
      </c>
      <c r="D91" s="11" t="inlineStr">
        <is>
          <t>米</t>
        </is>
      </c>
      <c r="E91" s="11" t="n">
        <v>1.45</v>
      </c>
      <c r="F91" s="67" t="n">
        <v>0.006</v>
      </c>
      <c r="G91" s="9" t="n">
        <v>100</v>
      </c>
      <c r="H91" s="11">
        <f>F91*$G$91</f>
        <v/>
      </c>
    </row>
    <row r="92" ht="14.25" customHeight="1" s="50">
      <c r="A92" s="55" t="n"/>
      <c r="B92" s="15" t="inlineStr">
        <is>
          <t>C63皮革拉毛底*白底</t>
        </is>
      </c>
      <c r="C92" s="11" t="inlineStr">
        <is>
          <t>黑色</t>
        </is>
      </c>
      <c r="D92" s="11" t="inlineStr">
        <is>
          <t>米</t>
        </is>
      </c>
      <c r="E92" s="11" t="n">
        <v>1.48</v>
      </c>
      <c r="F92" s="67" t="n">
        <v>0.099</v>
      </c>
      <c r="G92" s="55" t="n"/>
      <c r="H92" s="11">
        <f>F92*$G$91</f>
        <v/>
      </c>
    </row>
    <row r="93" ht="14.25" customHeight="1" s="50">
      <c r="A93" s="55" t="n"/>
      <c r="B93" s="28" t="inlineStr">
        <is>
          <t>401草席纹皮革拉毛底</t>
        </is>
      </c>
      <c r="C93" s="15" t="inlineStr">
        <is>
          <t>黑色</t>
        </is>
      </c>
      <c r="D93" s="15" t="inlineStr">
        <is>
          <t>米</t>
        </is>
      </c>
      <c r="E93" s="11" t="n">
        <v>1.48</v>
      </c>
      <c r="F93" s="54" t="n">
        <v>0.052</v>
      </c>
      <c r="G93" s="55" t="n"/>
      <c r="H93" s="11">
        <f>F93*$G$91</f>
        <v/>
      </c>
    </row>
    <row r="94" ht="156" customHeight="1" s="50">
      <c r="A94" s="55" t="n"/>
      <c r="B94" s="32" t="inlineStr">
        <is>
          <t>38*8.2白色塑胶耳朵圈230克          （采购耳朵圈上下必须要有中心线点位，左右耳朵中心也要点位，便于车工套圈对位，两边做均匀）</t>
        </is>
      </c>
      <c r="C94" s="9" t="inlineStr">
        <is>
          <t>白色</t>
        </is>
      </c>
      <c r="D94" s="9" t="inlineStr">
        <is>
          <t>个</t>
        </is>
      </c>
      <c r="E94" s="9" t="inlineStr">
        <is>
          <t>38*8.2</t>
        </is>
      </c>
      <c r="F94" s="66" t="n">
        <v>1</v>
      </c>
      <c r="G94" s="55" t="n"/>
      <c r="H94" s="11">
        <f>F94*$G$91</f>
        <v/>
      </c>
    </row>
    <row r="95" ht="14.25" customHeight="1" s="50">
      <c r="A95" s="59" t="n"/>
      <c r="B95" s="9" t="inlineStr">
        <is>
          <t>线</t>
        </is>
      </c>
      <c r="C95" s="9" t="n"/>
      <c r="D95" s="9" t="n"/>
      <c r="E95" s="9" t="n"/>
      <c r="F95" s="60" t="n"/>
      <c r="G95" s="59" t="n"/>
      <c r="H95" s="9" t="n"/>
    </row>
    <row r="96" ht="14.25" customHeight="1" s="50">
      <c r="A96" s="61" t="inlineStr">
        <is>
          <t>JX-233039-1 BLACK+RED</t>
        </is>
      </c>
      <c r="B96" s="63" t="inlineStr">
        <is>
          <t>C63皮革拉毛底*需复合(0.3CM复合海绵18#*复合*黑色)</t>
        </is>
      </c>
      <c r="C96" s="15" t="inlineStr">
        <is>
          <t>黑色</t>
        </is>
      </c>
      <c r="D96" s="11" t="inlineStr">
        <is>
          <t>米</t>
        </is>
      </c>
      <c r="E96" s="11" t="n">
        <v>1.48</v>
      </c>
      <c r="F96" s="54" t="n">
        <v>0.133</v>
      </c>
      <c r="G96" s="9" t="n">
        <v>100</v>
      </c>
      <c r="H96" s="11">
        <f>F96*$G$96</f>
        <v/>
      </c>
    </row>
    <row r="97" ht="14.25" customHeight="1" s="50">
      <c r="A97" s="55" t="n"/>
      <c r="B97" s="48" t="inlineStr">
        <is>
          <t>0.3CM复合海绵18#*复合</t>
        </is>
      </c>
      <c r="C97" s="15" t="inlineStr">
        <is>
          <t>黑色</t>
        </is>
      </c>
      <c r="D97" s="15" t="inlineStr">
        <is>
          <t>米</t>
        </is>
      </c>
      <c r="E97" s="15" t="n">
        <v>1.51</v>
      </c>
      <c r="F97" s="54" t="n">
        <v>0.133</v>
      </c>
      <c r="G97" s="55" t="n"/>
      <c r="H97" s="11">
        <f>F97*$G$96</f>
        <v/>
      </c>
    </row>
    <row r="98" ht="20.25" customHeight="1" s="50">
      <c r="A98" s="55" t="n"/>
      <c r="B98" s="15" t="inlineStr">
        <is>
          <t>草席纹镜面革*不用复合</t>
        </is>
      </c>
      <c r="C98" s="12" t="inlineStr">
        <is>
          <t>红色</t>
        </is>
      </c>
      <c r="D98" s="11" t="inlineStr">
        <is>
          <t>米</t>
        </is>
      </c>
      <c r="E98" s="11" t="n">
        <v>1.38</v>
      </c>
      <c r="F98" s="54" t="n">
        <v>0.015</v>
      </c>
      <c r="G98" s="55" t="n"/>
      <c r="H98" s="11">
        <f>F98*$G$96</f>
        <v/>
      </c>
    </row>
    <row r="99" ht="14.25" customHeight="1" s="50">
      <c r="A99" s="55" t="n"/>
      <c r="B99" s="15" t="inlineStr">
        <is>
          <t>002冲孔皮革拉毛底*黑底需注塑</t>
        </is>
      </c>
      <c r="C99" s="11" t="inlineStr">
        <is>
          <t>黑色</t>
        </is>
      </c>
      <c r="D99" s="11" t="inlineStr">
        <is>
          <t>米</t>
        </is>
      </c>
      <c r="E99" s="11" t="n">
        <v>1.4</v>
      </c>
      <c r="F99" s="54" t="n">
        <v>0.044</v>
      </c>
      <c r="G99" s="55" t="n"/>
      <c r="H99" s="11">
        <f>F99*$G$96</f>
        <v/>
      </c>
    </row>
    <row r="100" ht="14.25" customHeight="1" s="50">
      <c r="A100" s="55" t="n"/>
      <c r="B100" s="32" t="inlineStr">
        <is>
          <t>002冲孔皮革拉毛底*黑底      注塑牛眼心图案</t>
        </is>
      </c>
      <c r="C100" s="11" t="inlineStr">
        <is>
          <t>黑色</t>
        </is>
      </c>
      <c r="D100" s="11" t="inlineStr">
        <is>
          <t>片</t>
        </is>
      </c>
      <c r="E100" s="11" t="inlineStr">
        <is>
          <t>/</t>
        </is>
      </c>
      <c r="F100" s="65" t="n">
        <v>2</v>
      </c>
      <c r="G100" s="55" t="n"/>
      <c r="H100" s="11">
        <f>F100*$G$96</f>
        <v/>
      </c>
    </row>
    <row r="101" ht="14.25" customHeight="1" s="50">
      <c r="A101" s="55" t="n"/>
      <c r="B101" s="9" t="inlineStr">
        <is>
          <t>38*8.2白色塑胶圈200克</t>
        </is>
      </c>
      <c r="C101" s="9" t="inlineStr">
        <is>
          <t>黑色</t>
        </is>
      </c>
      <c r="D101" s="9" t="inlineStr">
        <is>
          <t>个</t>
        </is>
      </c>
      <c r="E101" s="9" t="inlineStr">
        <is>
          <t>38*8.2</t>
        </is>
      </c>
      <c r="F101" s="66" t="n">
        <v>1</v>
      </c>
      <c r="G101" s="55" t="n"/>
      <c r="H101" s="11">
        <f>F101*$G$96</f>
        <v/>
      </c>
    </row>
    <row r="102" ht="14.25" customHeight="1" s="50">
      <c r="A102" s="59" t="n"/>
      <c r="B102" s="49" t="inlineStr">
        <is>
          <t>线</t>
        </is>
      </c>
      <c r="C102" s="11" t="n"/>
      <c r="D102" s="11" t="n"/>
      <c r="E102" s="11" t="n"/>
      <c r="F102" s="62" t="n"/>
      <c r="G102" s="59" t="n"/>
      <c r="H102" s="11" t="n"/>
    </row>
    <row r="103" ht="14.25" customHeight="1" s="50">
      <c r="A103" s="61" t="inlineStr">
        <is>
          <t>JX-233039-2 BLACK+BLACK</t>
        </is>
      </c>
      <c r="B103" s="63" t="inlineStr">
        <is>
          <t>C63皮革拉毛底*需复合(0.3CM复合海绵18#*复合*黑色)</t>
        </is>
      </c>
      <c r="C103" s="15" t="inlineStr">
        <is>
          <t>黑色</t>
        </is>
      </c>
      <c r="D103" s="11" t="inlineStr">
        <is>
          <t>米</t>
        </is>
      </c>
      <c r="E103" s="11" t="n">
        <v>1.48</v>
      </c>
      <c r="F103" s="54" t="n">
        <v>0.133</v>
      </c>
      <c r="G103" s="9" t="n">
        <v>100</v>
      </c>
      <c r="H103" s="11">
        <f>F103*$G$103</f>
        <v/>
      </c>
    </row>
    <row r="104" ht="14.25" customHeight="1" s="50">
      <c r="A104" s="55" t="n"/>
      <c r="B104" s="48" t="inlineStr">
        <is>
          <t>0.3CM复合海绵18#*复合</t>
        </is>
      </c>
      <c r="C104" s="15" t="inlineStr">
        <is>
          <t>黑色</t>
        </is>
      </c>
      <c r="D104" s="15" t="inlineStr">
        <is>
          <t>米</t>
        </is>
      </c>
      <c r="E104" s="15" t="n">
        <v>1.51</v>
      </c>
      <c r="F104" s="54" t="n">
        <v>0.133</v>
      </c>
      <c r="G104" s="55" t="n"/>
      <c r="H104" s="11">
        <f>F104*$G$103</f>
        <v/>
      </c>
    </row>
    <row r="105" ht="20.25" customHeight="1" s="50">
      <c r="A105" s="55" t="n"/>
      <c r="B105" s="15" t="inlineStr">
        <is>
          <t>草席纹镜面革*不用复合</t>
        </is>
      </c>
      <c r="C105" s="12" t="inlineStr">
        <is>
          <t>黑色</t>
        </is>
      </c>
      <c r="D105" s="11" t="inlineStr">
        <is>
          <t>米</t>
        </is>
      </c>
      <c r="E105" s="11" t="n">
        <v>1.38</v>
      </c>
      <c r="F105" s="54" t="n">
        <v>0.015</v>
      </c>
      <c r="G105" s="55" t="n"/>
      <c r="H105" s="11">
        <f>F105*$G$103</f>
        <v/>
      </c>
    </row>
    <row r="106" ht="14.25" customHeight="1" s="50">
      <c r="A106" s="55" t="n"/>
      <c r="B106" s="15" t="inlineStr">
        <is>
          <t>002冲孔皮革拉毛底*黑底需注塑</t>
        </is>
      </c>
      <c r="C106" s="11" t="inlineStr">
        <is>
          <t>黑色</t>
        </is>
      </c>
      <c r="D106" s="11" t="inlineStr">
        <is>
          <t>米</t>
        </is>
      </c>
      <c r="E106" s="11" t="n">
        <v>1.4</v>
      </c>
      <c r="F106" s="54" t="n">
        <v>0.044</v>
      </c>
      <c r="G106" s="55" t="n"/>
      <c r="H106" s="11">
        <f>F106*$G$103</f>
        <v/>
      </c>
    </row>
    <row r="107" ht="14.25" customHeight="1" s="50">
      <c r="A107" s="55" t="n"/>
      <c r="B107" s="32" t="inlineStr">
        <is>
          <t>002冲孔皮革拉毛底*黑底      注塑牛眼心图案</t>
        </is>
      </c>
      <c r="C107" s="11" t="inlineStr">
        <is>
          <t>黑色</t>
        </is>
      </c>
      <c r="D107" s="11" t="inlineStr">
        <is>
          <t>片</t>
        </is>
      </c>
      <c r="E107" s="11" t="inlineStr">
        <is>
          <t>/</t>
        </is>
      </c>
      <c r="F107" s="65" t="n">
        <v>2</v>
      </c>
      <c r="G107" s="55" t="n"/>
      <c r="H107" s="11">
        <f>F107*$G$103</f>
        <v/>
      </c>
    </row>
    <row r="108" ht="14.25" customHeight="1" s="50">
      <c r="A108" s="55" t="n"/>
      <c r="B108" s="9" t="inlineStr">
        <is>
          <t>38*8.2白色塑胶圈200克</t>
        </is>
      </c>
      <c r="C108" s="9" t="inlineStr">
        <is>
          <t>黑色</t>
        </is>
      </c>
      <c r="D108" s="9" t="inlineStr">
        <is>
          <t>个</t>
        </is>
      </c>
      <c r="E108" s="9" t="inlineStr">
        <is>
          <t>38*8.2</t>
        </is>
      </c>
      <c r="F108" s="66" t="n">
        <v>1</v>
      </c>
      <c r="G108" s="55" t="n"/>
      <c r="H108" s="11">
        <f>F108*$G$103</f>
        <v/>
      </c>
    </row>
    <row r="109" ht="14.25" customHeight="1" s="50">
      <c r="A109" s="59" t="n"/>
      <c r="B109" s="49" t="inlineStr">
        <is>
          <t>线</t>
        </is>
      </c>
      <c r="C109" s="11" t="n"/>
      <c r="D109" s="11" t="n"/>
      <c r="E109" s="11" t="n"/>
      <c r="F109" s="62" t="n"/>
      <c r="G109" s="59" t="n"/>
      <c r="H109" s="11" t="n"/>
    </row>
    <row r="110" ht="14.25" customHeight="1" s="50">
      <c r="A110" s="61" t="inlineStr">
        <is>
          <t>JX-233039-3 BLACK+BLUE</t>
        </is>
      </c>
      <c r="B110" s="63" t="inlineStr">
        <is>
          <t>C63皮革拉毛底*需复合(0.3CM复合海绵18#*复合*黑色)</t>
        </is>
      </c>
      <c r="C110" s="15" t="inlineStr">
        <is>
          <t>黑色</t>
        </is>
      </c>
      <c r="D110" s="11" t="inlineStr">
        <is>
          <t>米</t>
        </is>
      </c>
      <c r="E110" s="11" t="n">
        <v>1.48</v>
      </c>
      <c r="F110" s="54" t="n">
        <v>0.133</v>
      </c>
      <c r="G110" s="9" t="n">
        <v>100</v>
      </c>
      <c r="H110" s="11">
        <f>F110*$G$110</f>
        <v/>
      </c>
    </row>
    <row r="111" ht="14.25" customHeight="1" s="50">
      <c r="A111" s="55" t="n"/>
      <c r="B111" s="48" t="inlineStr">
        <is>
          <t>0.3CM复合海绵18#*复合</t>
        </is>
      </c>
      <c r="C111" s="15" t="inlineStr">
        <is>
          <t>黑色</t>
        </is>
      </c>
      <c r="D111" s="15" t="inlineStr">
        <is>
          <t>米</t>
        </is>
      </c>
      <c r="E111" s="15" t="n">
        <v>1.51</v>
      </c>
      <c r="F111" s="54" t="n">
        <v>0.133</v>
      </c>
      <c r="G111" s="55" t="n"/>
      <c r="H111" s="11">
        <f>F111*$G$110</f>
        <v/>
      </c>
    </row>
    <row r="112" ht="20.25" customHeight="1" s="50">
      <c r="A112" s="55" t="n"/>
      <c r="B112" s="15" t="inlineStr">
        <is>
          <t>草席纹镜面革*不用复合</t>
        </is>
      </c>
      <c r="C112" s="12" t="inlineStr">
        <is>
          <t>蓝色</t>
        </is>
      </c>
      <c r="D112" s="11" t="inlineStr">
        <is>
          <t>米</t>
        </is>
      </c>
      <c r="E112" s="11" t="n">
        <v>1.38</v>
      </c>
      <c r="F112" s="54" t="n">
        <v>0.015</v>
      </c>
      <c r="G112" s="55" t="n"/>
      <c r="H112" s="11">
        <f>F112*$G$110</f>
        <v/>
      </c>
    </row>
    <row r="113" ht="14.25" customHeight="1" s="50">
      <c r="A113" s="55" t="n"/>
      <c r="B113" s="15" t="inlineStr">
        <is>
          <t>002冲孔皮革拉毛底*黑底需注塑</t>
        </is>
      </c>
      <c r="C113" s="11" t="inlineStr">
        <is>
          <t>黑色</t>
        </is>
      </c>
      <c r="D113" s="11" t="inlineStr">
        <is>
          <t>米</t>
        </is>
      </c>
      <c r="E113" s="11" t="n">
        <v>1.4</v>
      </c>
      <c r="F113" s="54" t="n">
        <v>0.044</v>
      </c>
      <c r="G113" s="55" t="n"/>
      <c r="H113" s="11">
        <f>F113*$G$110</f>
        <v/>
      </c>
    </row>
    <row r="114" ht="14.25" customHeight="1" s="50">
      <c r="A114" s="55" t="n"/>
      <c r="B114" s="32" t="inlineStr">
        <is>
          <t>002冲孔皮革拉毛底*黑底      注塑牛眼心图案</t>
        </is>
      </c>
      <c r="C114" s="11" t="inlineStr">
        <is>
          <t>黑色</t>
        </is>
      </c>
      <c r="D114" s="11" t="inlineStr">
        <is>
          <t>片</t>
        </is>
      </c>
      <c r="E114" s="11" t="inlineStr">
        <is>
          <t>/</t>
        </is>
      </c>
      <c r="F114" s="65" t="n">
        <v>2</v>
      </c>
      <c r="G114" s="55" t="n"/>
      <c r="H114" s="11">
        <f>F114*$G$110</f>
        <v/>
      </c>
    </row>
    <row r="115" ht="14.25" customHeight="1" s="50">
      <c r="A115" s="55" t="n"/>
      <c r="B115" s="9" t="inlineStr">
        <is>
          <t>38*8.2白色塑胶圈200克</t>
        </is>
      </c>
      <c r="C115" s="9" t="inlineStr">
        <is>
          <t>黑色</t>
        </is>
      </c>
      <c r="D115" s="9" t="inlineStr">
        <is>
          <t>个</t>
        </is>
      </c>
      <c r="E115" s="9" t="inlineStr">
        <is>
          <t>38*8.2</t>
        </is>
      </c>
      <c r="F115" s="66" t="n">
        <v>1</v>
      </c>
      <c r="G115" s="55" t="n"/>
      <c r="H115" s="11">
        <f>F115*$G$110</f>
        <v/>
      </c>
    </row>
    <row r="116" ht="14.25" customHeight="1" s="50">
      <c r="A116" s="59" t="n"/>
      <c r="B116" s="49" t="inlineStr">
        <is>
          <t>线</t>
        </is>
      </c>
      <c r="C116" s="11" t="n"/>
      <c r="D116" s="11" t="n"/>
      <c r="E116" s="11" t="n"/>
      <c r="F116" s="62" t="n"/>
      <c r="G116" s="59" t="n"/>
      <c r="H116" s="11" t="n"/>
    </row>
    <row r="117" ht="14.25" customHeight="1" s="50">
      <c r="A117" s="61" t="inlineStr">
        <is>
          <t>JX-233267-1 BLACK+GREY</t>
        </is>
      </c>
      <c r="B117" s="15" t="inlineStr">
        <is>
          <t>C63皮革拉毛底*白底</t>
        </is>
      </c>
      <c r="C117" s="11" t="inlineStr">
        <is>
          <t>黑色</t>
        </is>
      </c>
      <c r="D117" s="11" t="inlineStr">
        <is>
          <t>米</t>
        </is>
      </c>
      <c r="E117" s="11" t="n">
        <v>1.48</v>
      </c>
      <c r="F117" s="54" t="n">
        <v>0.068</v>
      </c>
      <c r="G117" s="9" t="n">
        <v>100</v>
      </c>
      <c r="H117" s="11">
        <f>F117*$G$117</f>
        <v/>
      </c>
    </row>
    <row r="118" ht="14.25" customHeight="1" s="50">
      <c r="A118" s="55" t="n"/>
      <c r="B118" s="15" t="inlineStr">
        <is>
          <t xml:space="preserve">P496小方格皮革针织底 </t>
        </is>
      </c>
      <c r="C118" s="11" t="inlineStr">
        <is>
          <t>黑色</t>
        </is>
      </c>
      <c r="D118" s="11" t="inlineStr">
        <is>
          <t>米</t>
        </is>
      </c>
      <c r="E118" s="11" t="n">
        <v>1.48</v>
      </c>
      <c r="F118" s="54" t="n">
        <v>0.082</v>
      </c>
      <c r="G118" s="55" t="n"/>
      <c r="H118" s="11">
        <f>F118*$G$117</f>
        <v/>
      </c>
    </row>
    <row r="119" ht="20.25" customHeight="1" s="50">
      <c r="A119" s="55" t="n"/>
      <c r="B119" s="15" t="inlineStr">
        <is>
          <t>塑料PVC丝</t>
        </is>
      </c>
      <c r="C119" s="30" t="inlineStr">
        <is>
          <t>灰色</t>
        </is>
      </c>
      <c r="D119" s="11" t="inlineStr">
        <is>
          <t>米</t>
        </is>
      </c>
      <c r="E119" s="11" t="inlineStr">
        <is>
          <t>/</t>
        </is>
      </c>
      <c r="F119" s="62" t="n">
        <v>1.23</v>
      </c>
      <c r="G119" s="55" t="n"/>
      <c r="H119" s="11">
        <f>F119*$G$117</f>
        <v/>
      </c>
    </row>
    <row r="120" ht="14.25" customHeight="1" s="50">
      <c r="A120" s="55" t="n"/>
      <c r="B120" s="9" t="inlineStr">
        <is>
          <t>38*8.2白色塑胶圈200克</t>
        </is>
      </c>
      <c r="C120" s="9" t="inlineStr">
        <is>
          <t>黑色</t>
        </is>
      </c>
      <c r="D120" s="9" t="inlineStr">
        <is>
          <t>个</t>
        </is>
      </c>
      <c r="E120" s="9" t="inlineStr">
        <is>
          <t>38*8.2</t>
        </is>
      </c>
      <c r="F120" s="66" t="n">
        <v>1</v>
      </c>
      <c r="G120" s="55" t="n"/>
      <c r="H120" s="11">
        <f>F120*$G$117</f>
        <v/>
      </c>
    </row>
    <row r="121" ht="14.25" customHeight="1" s="50">
      <c r="A121" s="55" t="n"/>
      <c r="B121" s="9" t="inlineStr">
        <is>
          <t>0.18CM厚/EVA内衬</t>
        </is>
      </c>
      <c r="C121" s="9" t="inlineStr">
        <is>
          <t>黑色</t>
        </is>
      </c>
      <c r="D121" s="9" t="inlineStr">
        <is>
          <t>米</t>
        </is>
      </c>
      <c r="E121" s="9" t="n">
        <v>1.5</v>
      </c>
      <c r="F121" s="60" t="n">
        <v>0.06</v>
      </c>
      <c r="G121" s="55" t="n"/>
      <c r="H121" s="11">
        <f>F121*$G$117</f>
        <v/>
      </c>
    </row>
    <row r="122" ht="14.25" customHeight="1" s="50">
      <c r="A122" s="59" t="n"/>
      <c r="B122" s="49" t="inlineStr">
        <is>
          <t>线</t>
        </is>
      </c>
      <c r="C122" s="11" t="n"/>
      <c r="D122" s="11" t="n"/>
      <c r="E122" s="11" t="n"/>
      <c r="F122" s="62" t="n"/>
      <c r="G122" s="59" t="n"/>
      <c r="H122" s="11" t="n"/>
    </row>
    <row r="123" ht="14.25" customHeight="1" s="50">
      <c r="A123" s="61" t="inlineStr">
        <is>
          <t>JX-233267-2 BLACK+RED</t>
        </is>
      </c>
      <c r="B123" s="15" t="inlineStr">
        <is>
          <t>C63皮革拉毛底*白底</t>
        </is>
      </c>
      <c r="C123" s="11" t="inlineStr">
        <is>
          <t>黑色</t>
        </is>
      </c>
      <c r="D123" s="11" t="inlineStr">
        <is>
          <t>米</t>
        </is>
      </c>
      <c r="E123" s="11" t="n">
        <v>1.48</v>
      </c>
      <c r="F123" s="54" t="n">
        <v>0.068</v>
      </c>
      <c r="G123" s="9" t="n">
        <v>100</v>
      </c>
      <c r="H123" s="11">
        <f>F123*$G$123</f>
        <v/>
      </c>
    </row>
    <row r="124" ht="14.25" customHeight="1" s="50">
      <c r="A124" s="55" t="n"/>
      <c r="B124" s="15" t="inlineStr">
        <is>
          <t xml:space="preserve">P496小方格皮革针织底 </t>
        </is>
      </c>
      <c r="C124" s="11" t="inlineStr">
        <is>
          <t>黑色</t>
        </is>
      </c>
      <c r="D124" s="11" t="inlineStr">
        <is>
          <t>米</t>
        </is>
      </c>
      <c r="E124" s="11" t="n">
        <v>1.48</v>
      </c>
      <c r="F124" s="54" t="n">
        <v>0.082</v>
      </c>
      <c r="G124" s="55" t="n"/>
      <c r="H124" s="11">
        <f>F124*$G$123</f>
        <v/>
      </c>
    </row>
    <row r="125" ht="20.25" customHeight="1" s="50">
      <c r="A125" s="55" t="n"/>
      <c r="B125" s="15" t="inlineStr">
        <is>
          <t>塑料PVC丝</t>
        </is>
      </c>
      <c r="C125" s="30" t="inlineStr">
        <is>
          <t>红色</t>
        </is>
      </c>
      <c r="D125" s="11" t="inlineStr">
        <is>
          <t>米</t>
        </is>
      </c>
      <c r="E125" s="11" t="inlineStr">
        <is>
          <t>/</t>
        </is>
      </c>
      <c r="F125" s="62" t="n">
        <v>1.23</v>
      </c>
      <c r="G125" s="55" t="n"/>
      <c r="H125" s="11">
        <f>F125*$G$123</f>
        <v/>
      </c>
    </row>
    <row r="126" ht="14.25" customHeight="1" s="50">
      <c r="A126" s="55" t="n"/>
      <c r="B126" s="9" t="inlineStr">
        <is>
          <t>38*8.2白色塑胶圈200克</t>
        </is>
      </c>
      <c r="C126" s="9" t="inlineStr">
        <is>
          <t>黑色</t>
        </is>
      </c>
      <c r="D126" s="9" t="inlineStr">
        <is>
          <t>个</t>
        </is>
      </c>
      <c r="E126" s="9" t="inlineStr">
        <is>
          <t>38*8.2</t>
        </is>
      </c>
      <c r="F126" s="66" t="n">
        <v>1</v>
      </c>
      <c r="G126" s="55" t="n"/>
      <c r="H126" s="11">
        <f>F126*$G$123</f>
        <v/>
      </c>
    </row>
    <row r="127" ht="14.25" customHeight="1" s="50">
      <c r="A127" s="55" t="n"/>
      <c r="B127" s="9" t="inlineStr">
        <is>
          <t>0.18CM厚/EVA内衬</t>
        </is>
      </c>
      <c r="C127" s="9" t="inlineStr">
        <is>
          <t>黑色</t>
        </is>
      </c>
      <c r="D127" s="9" t="inlineStr">
        <is>
          <t>米</t>
        </is>
      </c>
      <c r="E127" s="9" t="n">
        <v>1.5</v>
      </c>
      <c r="F127" s="60" t="n">
        <v>0.06</v>
      </c>
      <c r="G127" s="55" t="n"/>
      <c r="H127" s="11">
        <f>F127*$G$123</f>
        <v/>
      </c>
    </row>
    <row r="128" ht="14.25" customHeight="1" s="50">
      <c r="A128" s="59" t="n"/>
      <c r="B128" s="49" t="inlineStr">
        <is>
          <t>线</t>
        </is>
      </c>
      <c r="C128" s="11" t="n"/>
      <c r="D128" s="11" t="n"/>
      <c r="E128" s="11" t="n"/>
      <c r="F128" s="62" t="n"/>
      <c r="G128" s="59" t="n"/>
      <c r="H128" s="11" t="n"/>
    </row>
    <row r="129" ht="14.25" customHeight="1" s="50">
      <c r="A129" s="61" t="inlineStr">
        <is>
          <t>JX-233267-3 BLACK+BLUE</t>
        </is>
      </c>
      <c r="B129" s="15" t="inlineStr">
        <is>
          <t>C63皮革拉毛底*白底</t>
        </is>
      </c>
      <c r="C129" s="11" t="inlineStr">
        <is>
          <t>黑色</t>
        </is>
      </c>
      <c r="D129" s="11" t="inlineStr">
        <is>
          <t>米</t>
        </is>
      </c>
      <c r="E129" s="11" t="n">
        <v>1.48</v>
      </c>
      <c r="F129" s="54" t="n">
        <v>0.068</v>
      </c>
      <c r="G129" s="9" t="n">
        <v>125</v>
      </c>
      <c r="H129" s="11">
        <f>F129*$G$129</f>
        <v/>
      </c>
    </row>
    <row r="130" ht="14.25" customHeight="1" s="50">
      <c r="A130" s="55" t="n"/>
      <c r="B130" s="15" t="inlineStr">
        <is>
          <t xml:space="preserve">P496小方格皮革针织底 </t>
        </is>
      </c>
      <c r="C130" s="11" t="inlineStr">
        <is>
          <t>黑色</t>
        </is>
      </c>
      <c r="D130" s="11" t="inlineStr">
        <is>
          <t>米</t>
        </is>
      </c>
      <c r="E130" s="11" t="n">
        <v>1.48</v>
      </c>
      <c r="F130" s="54" t="n">
        <v>0.082</v>
      </c>
      <c r="G130" s="55" t="n"/>
      <c r="H130" s="11">
        <f>F130*$G$129</f>
        <v/>
      </c>
    </row>
    <row r="131" ht="20.25" customHeight="1" s="50">
      <c r="A131" s="55" t="n"/>
      <c r="B131" s="15" t="inlineStr">
        <is>
          <t>塑料PVC丝</t>
        </is>
      </c>
      <c r="C131" s="30" t="inlineStr">
        <is>
          <t>蓝色</t>
        </is>
      </c>
      <c r="D131" s="11" t="inlineStr">
        <is>
          <t>米</t>
        </is>
      </c>
      <c r="E131" s="11" t="inlineStr">
        <is>
          <t>/</t>
        </is>
      </c>
      <c r="F131" s="62" t="n">
        <v>1.23</v>
      </c>
      <c r="G131" s="55" t="n"/>
      <c r="H131" s="11">
        <f>F131*$G$129</f>
        <v/>
      </c>
    </row>
    <row r="132" ht="14.25" customHeight="1" s="50">
      <c r="A132" s="55" t="n"/>
      <c r="B132" s="9" t="inlineStr">
        <is>
          <t>38*8.2白色塑胶圈200克</t>
        </is>
      </c>
      <c r="C132" s="9" t="inlineStr">
        <is>
          <t>黑色</t>
        </is>
      </c>
      <c r="D132" s="9" t="inlineStr">
        <is>
          <t>个</t>
        </is>
      </c>
      <c r="E132" s="9" t="inlineStr">
        <is>
          <t>38*8.2</t>
        </is>
      </c>
      <c r="F132" s="66" t="n">
        <v>1</v>
      </c>
      <c r="G132" s="55" t="n"/>
      <c r="H132" s="11">
        <f>F132*$G$129</f>
        <v/>
      </c>
    </row>
    <row r="133" ht="14.25" customHeight="1" s="50">
      <c r="A133" s="55" t="n"/>
      <c r="B133" s="9" t="inlineStr">
        <is>
          <t>0.18CM厚/EVA内衬</t>
        </is>
      </c>
      <c r="C133" s="9" t="inlineStr">
        <is>
          <t>黑色</t>
        </is>
      </c>
      <c r="D133" s="9" t="inlineStr">
        <is>
          <t>米</t>
        </is>
      </c>
      <c r="E133" s="9" t="n">
        <v>1.5</v>
      </c>
      <c r="F133" s="60" t="n">
        <v>0.06</v>
      </c>
      <c r="G133" s="55" t="n"/>
      <c r="H133" s="11">
        <f>F133*$G$129</f>
        <v/>
      </c>
    </row>
    <row r="134" ht="14.25" customHeight="1" s="50">
      <c r="A134" s="59" t="n"/>
      <c r="B134" s="49" t="inlineStr">
        <is>
          <t>线</t>
        </is>
      </c>
      <c r="C134" s="11" t="n"/>
      <c r="D134" s="11" t="n"/>
      <c r="E134" s="11" t="n"/>
      <c r="F134" s="62" t="n"/>
      <c r="G134" s="59" t="n"/>
      <c r="H134" s="11" t="n"/>
    </row>
    <row r="135" ht="14.25" customHeight="1" s="50">
      <c r="A135" s="61" t="inlineStr">
        <is>
          <t>JX-233267-4 BLACK+PINK</t>
        </is>
      </c>
      <c r="B135" s="15" t="inlineStr">
        <is>
          <t>C63皮革拉毛底*白底</t>
        </is>
      </c>
      <c r="C135" s="11" t="inlineStr">
        <is>
          <t>黑色</t>
        </is>
      </c>
      <c r="D135" s="11" t="inlineStr">
        <is>
          <t>米</t>
        </is>
      </c>
      <c r="E135" s="11" t="n">
        <v>1.48</v>
      </c>
      <c r="F135" s="54" t="n">
        <v>0.068</v>
      </c>
      <c r="G135" s="9" t="n">
        <v>100</v>
      </c>
      <c r="H135" s="11">
        <f>F135*$G$135</f>
        <v/>
      </c>
    </row>
    <row r="136" ht="14.25" customHeight="1" s="50">
      <c r="A136" s="55" t="n"/>
      <c r="B136" s="15" t="inlineStr">
        <is>
          <t xml:space="preserve">P496小方格皮革针织底 </t>
        </is>
      </c>
      <c r="C136" s="11" t="inlineStr">
        <is>
          <t>黑色</t>
        </is>
      </c>
      <c r="D136" s="11" t="inlineStr">
        <is>
          <t>米</t>
        </is>
      </c>
      <c r="E136" s="11" t="n">
        <v>1.48</v>
      </c>
      <c r="F136" s="54" t="n">
        <v>0.082</v>
      </c>
      <c r="G136" s="55" t="n"/>
      <c r="H136" s="11">
        <f>F136*$G$135</f>
        <v/>
      </c>
    </row>
    <row r="137" ht="20.25" customHeight="1" s="50">
      <c r="A137" s="55" t="n"/>
      <c r="B137" s="15" t="inlineStr">
        <is>
          <t>塑料PVC丝</t>
        </is>
      </c>
      <c r="C137" s="30" t="inlineStr">
        <is>
          <t>粉色</t>
        </is>
      </c>
      <c r="D137" s="11" t="inlineStr">
        <is>
          <t>米</t>
        </is>
      </c>
      <c r="E137" s="11" t="inlineStr">
        <is>
          <t>/</t>
        </is>
      </c>
      <c r="F137" s="62" t="n">
        <v>1.23</v>
      </c>
      <c r="G137" s="55" t="n"/>
      <c r="H137" s="11">
        <f>F137*$G$135</f>
        <v/>
      </c>
    </row>
    <row r="138" ht="14.25" customHeight="1" s="50">
      <c r="A138" s="55" t="n"/>
      <c r="B138" s="9" t="inlineStr">
        <is>
          <t>38*8.2白色塑胶圈200克</t>
        </is>
      </c>
      <c r="C138" s="9" t="inlineStr">
        <is>
          <t>黑色</t>
        </is>
      </c>
      <c r="D138" s="9" t="inlineStr">
        <is>
          <t>个</t>
        </is>
      </c>
      <c r="E138" s="9" t="inlineStr">
        <is>
          <t>38*8.2</t>
        </is>
      </c>
      <c r="F138" s="66" t="n">
        <v>1</v>
      </c>
      <c r="G138" s="55" t="n"/>
      <c r="H138" s="11">
        <f>F138*$G$135</f>
        <v/>
      </c>
    </row>
    <row r="139" ht="14.25" customHeight="1" s="50">
      <c r="A139" s="55" t="n"/>
      <c r="B139" s="9" t="inlineStr">
        <is>
          <t>0.18CM厚/EVA内衬</t>
        </is>
      </c>
      <c r="C139" s="9" t="inlineStr">
        <is>
          <t>黑色</t>
        </is>
      </c>
      <c r="D139" s="9" t="inlineStr">
        <is>
          <t>米</t>
        </is>
      </c>
      <c r="E139" s="9" t="n">
        <v>1.5</v>
      </c>
      <c r="F139" s="60" t="n">
        <v>0.06</v>
      </c>
      <c r="G139" s="55" t="n"/>
      <c r="H139" s="11">
        <f>F139*$G$135</f>
        <v/>
      </c>
    </row>
    <row r="140" ht="14.25" customHeight="1" s="50">
      <c r="A140" s="59" t="n"/>
      <c r="B140" s="49" t="inlineStr">
        <is>
          <t>线</t>
        </is>
      </c>
      <c r="C140" s="11" t="n"/>
      <c r="D140" s="11" t="n"/>
      <c r="E140" s="11" t="n"/>
      <c r="F140" s="62" t="n"/>
      <c r="G140" s="59" t="n"/>
      <c r="H140" s="11" t="n"/>
    </row>
  </sheetData>
  <mergeCells count="43">
    <mergeCell ref="G53:G59"/>
    <mergeCell ref="G103:G109"/>
    <mergeCell ref="G74:G80"/>
    <mergeCell ref="G11:G16"/>
    <mergeCell ref="G117:G122"/>
    <mergeCell ref="A1:H1"/>
    <mergeCell ref="A123:A128"/>
    <mergeCell ref="A11:A16"/>
    <mergeCell ref="A91:A95"/>
    <mergeCell ref="A26:A34"/>
    <mergeCell ref="G26:G34"/>
    <mergeCell ref="A17:A25"/>
    <mergeCell ref="A81:A85"/>
    <mergeCell ref="G60:G66"/>
    <mergeCell ref="G91:G95"/>
    <mergeCell ref="G110:G116"/>
    <mergeCell ref="A53:A59"/>
    <mergeCell ref="G35:G43"/>
    <mergeCell ref="A67:A73"/>
    <mergeCell ref="A44:A52"/>
    <mergeCell ref="A3:H3"/>
    <mergeCell ref="A96:A102"/>
    <mergeCell ref="A35:A43"/>
    <mergeCell ref="G44:G52"/>
    <mergeCell ref="G81:G85"/>
    <mergeCell ref="A2:H2"/>
    <mergeCell ref="G86:G90"/>
    <mergeCell ref="A129:A134"/>
    <mergeCell ref="A135:A140"/>
    <mergeCell ref="A5:A10"/>
    <mergeCell ref="G5:G10"/>
    <mergeCell ref="G96:G102"/>
    <mergeCell ref="G123:G128"/>
    <mergeCell ref="A110:A116"/>
    <mergeCell ref="G67:G73"/>
    <mergeCell ref="A60:A66"/>
    <mergeCell ref="G17:G25"/>
    <mergeCell ref="G135:G140"/>
    <mergeCell ref="A103:A109"/>
    <mergeCell ref="G129:G134"/>
    <mergeCell ref="A74:A80"/>
    <mergeCell ref="A86:A90"/>
    <mergeCell ref="A117:A122"/>
  </mergeCells>
  <conditionalFormatting sqref="B5:B140">
    <cfRule type="expression" priority="1" dxfId="17">
      <formula>=ISNUMBER(SEARCH("需复合(",B5))</formula>
    </cfRule>
  </conditionalFormatting>
  <pageMargins left="0.7" right="0.7" top="0.07847222222222219" bottom="0.0388888888888889" header="0.3" footer="0.3"/>
  <pageSetup orientation="portrait" paperSize="9" scale="89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6" customWidth="1" style="50" min="1" max="1"/>
    <col width="12" customWidth="1" style="50" min="2" max="2"/>
    <col width="10" customWidth="1" style="50" min="3" max="3"/>
    <col width="16" customWidth="1" style="50" min="4" max="4"/>
    <col width="16" customWidth="1" style="50" min="5" max="5"/>
    <col width="32" customWidth="1" style="50" min="6" max="6"/>
  </cols>
  <sheetData>
    <row r="1">
      <c r="A1" s="70" t="inlineStr">
        <is>
          <t>材料名称</t>
        </is>
      </c>
      <c r="B1" s="70" t="inlineStr">
        <is>
          <t>颜色</t>
        </is>
      </c>
      <c r="C1" s="70" t="inlineStr">
        <is>
          <t>单位</t>
        </is>
      </c>
      <c r="D1" s="70" t="inlineStr">
        <is>
          <t>门幅/规格</t>
        </is>
      </c>
      <c r="E1" s="70" t="inlineStr">
        <is>
          <t>订单用量合计</t>
        </is>
      </c>
      <c r="F1" s="70" t="inlineStr">
        <is>
          <t>来源行号</t>
        </is>
      </c>
    </row>
    <row r="2">
      <c r="A2" s="71" t="inlineStr">
        <is>
          <t>0.18CM厚/EVA内衬</t>
        </is>
      </c>
      <c r="B2" s="71" t="inlineStr">
        <is>
          <t>黑色</t>
        </is>
      </c>
      <c r="C2" s="71" t="inlineStr">
        <is>
          <t>米</t>
        </is>
      </c>
      <c r="D2" s="71" t="inlineStr">
        <is>
          <t>1.5</t>
        </is>
      </c>
      <c r="E2" s="72" t="n">
        <v>96</v>
      </c>
      <c r="F2" s="71" t="inlineStr">
        <is>
          <t>盘套 (2)!24, 盘套 (2)!33, 盘套 (2)!42, 盘套 (2)!51, 盘套 (2)!58, 盘套 (2)!65, 盘套 (2)!72, 盘套 (2)!79, 盘套 (2)!121, 盘套 (2)!127, 盘套 (2)!133, 盘套 (2)!139</t>
        </is>
      </c>
    </row>
    <row r="3">
      <c r="A3" s="71" t="inlineStr">
        <is>
          <t>0.26CM复合海绵45#*</t>
        </is>
      </c>
      <c r="B3" s="71" t="inlineStr">
        <is>
          <t>白色</t>
        </is>
      </c>
      <c r="C3" s="71" t="inlineStr">
        <is>
          <t>米</t>
        </is>
      </c>
      <c r="D3" s="71" t="inlineStr">
        <is>
          <t>1.53</t>
        </is>
      </c>
      <c r="E3" s="72" t="n">
        <v>3.4</v>
      </c>
      <c r="F3" s="71" t="inlineStr">
        <is>
          <t>盘套 (2)!76</t>
        </is>
      </c>
    </row>
    <row r="4">
      <c r="A4" s="71" t="inlineStr">
        <is>
          <t>0.2CM复合海绵16#</t>
        </is>
      </c>
      <c r="B4" s="71" t="inlineStr">
        <is>
          <t>灰色</t>
        </is>
      </c>
      <c r="C4" s="71" t="inlineStr">
        <is>
          <t>米</t>
        </is>
      </c>
      <c r="D4" s="71" t="inlineStr">
        <is>
          <t>1.83</t>
        </is>
      </c>
      <c r="E4" s="72" t="n">
        <v>39.525</v>
      </c>
      <c r="F4" s="71" t="inlineStr">
        <is>
          <t>盘套 (2)!21, 盘套 (2)!30, 盘套 (2)!39, 盘套 (2)!48</t>
        </is>
      </c>
    </row>
    <row r="5">
      <c r="A5" s="71" t="inlineStr">
        <is>
          <t>0.3CM复合海绵18#</t>
        </is>
      </c>
      <c r="B5" s="71" t="inlineStr">
        <is>
          <t>灰色</t>
        </is>
      </c>
      <c r="C5" s="71" t="inlineStr">
        <is>
          <t>米</t>
        </is>
      </c>
      <c r="D5" s="71" t="inlineStr">
        <is>
          <t>1.53</t>
        </is>
      </c>
      <c r="E5" s="72" t="n">
        <v>8.800000000000001</v>
      </c>
      <c r="F5" s="71" t="inlineStr">
        <is>
          <t>盘套 (2)!55, 盘套 (2)!62, 盘套 (2)!69</t>
        </is>
      </c>
    </row>
    <row r="6">
      <c r="A6" s="71" t="inlineStr">
        <is>
          <t>0.3CM复合海绵18#*复合</t>
        </is>
      </c>
      <c r="B6" s="71" t="inlineStr">
        <is>
          <t>黑色</t>
        </is>
      </c>
      <c r="C6" s="71" t="inlineStr">
        <is>
          <t>米</t>
        </is>
      </c>
      <c r="D6" s="71" t="inlineStr">
        <is>
          <t>1.51</t>
        </is>
      </c>
      <c r="E6" s="72" t="n">
        <v>39.90000000000001</v>
      </c>
      <c r="F6" s="71" t="inlineStr">
        <is>
          <t>盘套 (2)!97, 盘套 (2)!104, 盘套 (2)!111</t>
        </is>
      </c>
    </row>
    <row r="7">
      <c r="A7" s="71" t="inlineStr">
        <is>
          <t>0.85CM厚37#海绵（复合）</t>
        </is>
      </c>
      <c r="B7" s="71" t="inlineStr">
        <is>
          <t>灰色</t>
        </is>
      </c>
      <c r="C7" s="71" t="inlineStr">
        <is>
          <t>米</t>
        </is>
      </c>
      <c r="D7" s="71" t="inlineStr">
        <is>
          <t>1.53</t>
        </is>
      </c>
      <c r="E7" s="72" t="n">
        <v>40.525</v>
      </c>
      <c r="F7" s="71" t="inlineStr">
        <is>
          <t>盘套 (2)!7, 盘套 (2)!13</t>
        </is>
      </c>
    </row>
    <row r="8">
      <c r="A8" s="71" t="inlineStr">
        <is>
          <t>0.85CM厚37#海绵（里衬）</t>
        </is>
      </c>
      <c r="B8" s="71" t="inlineStr">
        <is>
          <t>白色</t>
        </is>
      </c>
      <c r="C8" s="71" t="inlineStr">
        <is>
          <t>米</t>
        </is>
      </c>
      <c r="D8" s="71" t="inlineStr">
        <is>
          <t>1.5</t>
        </is>
      </c>
      <c r="E8" s="72" t="n">
        <v>30.3</v>
      </c>
      <c r="F8" s="71" t="inlineStr">
        <is>
          <t>盘套 (2)!9, 盘套 (2)!15</t>
        </is>
      </c>
    </row>
    <row r="9">
      <c r="A9" s="71" t="inlineStr">
        <is>
          <t>002光皮拉毛底（左右小块）</t>
        </is>
      </c>
      <c r="B9" s="71" t="inlineStr">
        <is>
          <t>灰色</t>
        </is>
      </c>
      <c r="C9" s="71" t="inlineStr">
        <is>
          <t>米</t>
        </is>
      </c>
      <c r="D9" s="71" t="inlineStr">
        <is>
          <t>1.45</t>
        </is>
      </c>
      <c r="E9" s="72" t="n">
        <v>0.6</v>
      </c>
      <c r="F9" s="71" t="inlineStr">
        <is>
          <t>盘套 (2)!86</t>
        </is>
      </c>
    </row>
    <row r="10">
      <c r="A10" s="71" t="inlineStr">
        <is>
          <t>002光皮拉毛底（左右小块）</t>
        </is>
      </c>
      <c r="B10" s="71" t="inlineStr">
        <is>
          <t>红色</t>
        </is>
      </c>
      <c r="C10" s="71" t="inlineStr">
        <is>
          <t>米</t>
        </is>
      </c>
      <c r="D10" s="71" t="inlineStr">
        <is>
          <t>1.45</t>
        </is>
      </c>
      <c r="E10" s="72" t="n">
        <v>1.05</v>
      </c>
      <c r="F10" s="71" t="inlineStr">
        <is>
          <t>盘套 (2)!81</t>
        </is>
      </c>
    </row>
    <row r="11">
      <c r="A11" s="71" t="inlineStr">
        <is>
          <t>002光皮拉毛底（左右小块）</t>
        </is>
      </c>
      <c r="B11" s="71" t="inlineStr">
        <is>
          <t>蓝色</t>
        </is>
      </c>
      <c r="C11" s="71" t="inlineStr">
        <is>
          <t>米</t>
        </is>
      </c>
      <c r="D11" s="71" t="inlineStr">
        <is>
          <t>1.45</t>
        </is>
      </c>
      <c r="E11" s="72" t="n">
        <v>0.6</v>
      </c>
      <c r="F11" s="71" t="inlineStr">
        <is>
          <t>盘套 (2)!91</t>
        </is>
      </c>
    </row>
    <row r="12">
      <c r="A12" s="71" t="inlineStr">
        <is>
          <t>002冲孔皮革拉毛底</t>
        </is>
      </c>
      <c r="B12" s="71" t="inlineStr">
        <is>
          <t>黑色</t>
        </is>
      </c>
      <c r="C12" s="71" t="inlineStr">
        <is>
          <t>米</t>
        </is>
      </c>
      <c r="D12" s="71" t="inlineStr">
        <is>
          <t>1.45</t>
        </is>
      </c>
      <c r="E12" s="72" t="n">
        <v>127.575</v>
      </c>
      <c r="F12" s="71" t="inlineStr">
        <is>
          <t>盘套 (2)!5, 盘套 (2)!11, 盘套 (2)!18, 盘套 (2)!27, 盘套 (2)!36, 盘套 (2)!45, 盘套 (2)!53, 盘套 (2)!60, 盘套 (2)!67</t>
        </is>
      </c>
    </row>
    <row r="13">
      <c r="A13" s="71" t="inlineStr">
        <is>
          <t>002冲孔皮革拉毛底*黑底      注塑牛眼心图案</t>
        </is>
      </c>
      <c r="B13" s="71" t="inlineStr">
        <is>
          <t>黑色</t>
        </is>
      </c>
      <c r="C13" s="71" t="inlineStr">
        <is>
          <t>片</t>
        </is>
      </c>
      <c r="D13" s="71" t="inlineStr">
        <is>
          <t>/</t>
        </is>
      </c>
      <c r="E13" s="72" t="n">
        <v>600</v>
      </c>
      <c r="F13" s="71" t="inlineStr">
        <is>
          <t>盘套 (2)!100, 盘套 (2)!107, 盘套 (2)!114</t>
        </is>
      </c>
    </row>
    <row r="14">
      <c r="A14" s="71" t="inlineStr">
        <is>
          <t>002冲孔皮革拉毛底*黑底需注塑</t>
        </is>
      </c>
      <c r="B14" s="71" t="inlineStr">
        <is>
          <t>黑色</t>
        </is>
      </c>
      <c r="C14" s="71" t="inlineStr">
        <is>
          <t>米</t>
        </is>
      </c>
      <c r="D14" s="71" t="inlineStr">
        <is>
          <t>1.4</t>
        </is>
      </c>
      <c r="E14" s="72" t="n">
        <v>13.2</v>
      </c>
      <c r="F14" s="71" t="inlineStr">
        <is>
          <t>盘套 (2)!99, 盘套 (2)!106, 盘套 (2)!113</t>
        </is>
      </c>
    </row>
    <row r="15">
      <c r="A15" s="71" t="inlineStr">
        <is>
          <t>38*8.2白色塑胶圈200克</t>
        </is>
      </c>
      <c r="B15" s="71" t="inlineStr">
        <is>
          <t>黑色</t>
        </is>
      </c>
      <c r="C15" s="71" t="inlineStr">
        <is>
          <t>个</t>
        </is>
      </c>
      <c r="D15" s="71" t="inlineStr">
        <is>
          <t>38*8.2</t>
        </is>
      </c>
      <c r="E15" s="72" t="n">
        <v>2375</v>
      </c>
      <c r="F15" s="71" t="inlineStr">
        <is>
          <t>盘套 (2)!8, 盘套 (2)!14, 盘套 (2)!23, 盘套 (2)!32, 盘套 (2)!41, 盘套 (2)!50, 盘套 (2)!57, 盘套 (2)!64, 盘套 (2)!71, 盘套 (2)!78, 盘套 (2)!101, 盘套 (2)!108, 盘套 (2)!115, 盘套 (2)!120, 盘套 (2)!126, 盘套 (2)!132, 盘套 (2)!138</t>
        </is>
      </c>
    </row>
    <row r="16">
      <c r="A16" s="71" t="inlineStr">
        <is>
          <t>38*8.2白色塑胶耳朵圈230克          （采购耳朵圈上下必须要有中心线点位，左右耳朵中心也要点位，便于车工套圈对位，两边做均匀）</t>
        </is>
      </c>
      <c r="B16" s="71" t="inlineStr">
        <is>
          <t>白色</t>
        </is>
      </c>
      <c r="C16" s="71" t="inlineStr">
        <is>
          <t>个</t>
        </is>
      </c>
      <c r="D16" s="71" t="inlineStr">
        <is>
          <t>38*8.2</t>
        </is>
      </c>
      <c r="E16" s="72" t="n">
        <v>100</v>
      </c>
      <c r="F16" s="71" t="inlineStr">
        <is>
          <t>盘套 (2)!94</t>
        </is>
      </c>
    </row>
    <row r="17">
      <c r="A17" s="71" t="inlineStr">
        <is>
          <t>38*8.2白色塑胶耳朵圈240克          （采购耳朵圈上下必须要有中心线点位，左右耳朵中心也要点位，便于车工套圈对位，两边做均匀）</t>
        </is>
      </c>
      <c r="B17" s="71" t="inlineStr">
        <is>
          <t>白色</t>
        </is>
      </c>
      <c r="C17" s="71" t="inlineStr">
        <is>
          <t>个</t>
        </is>
      </c>
      <c r="D17" s="71" t="inlineStr">
        <is>
          <t>38*8.2</t>
        </is>
      </c>
      <c r="E17" s="72" t="n">
        <v>275</v>
      </c>
      <c r="F17" s="71" t="inlineStr">
        <is>
          <t>盘套 (2)!84, 盘套 (2)!89</t>
        </is>
      </c>
    </row>
    <row r="18">
      <c r="A18" s="71" t="inlineStr">
        <is>
          <t>401草席纹皮革拉毛底</t>
        </is>
      </c>
      <c r="B18" s="71" t="inlineStr">
        <is>
          <t>黑色</t>
        </is>
      </c>
      <c r="C18" s="71" t="inlineStr">
        <is>
          <t>米</t>
        </is>
      </c>
      <c r="D18" s="71" t="inlineStr">
        <is>
          <t>1.48</t>
        </is>
      </c>
      <c r="E18" s="72" t="n">
        <v>19.5</v>
      </c>
      <c r="F18" s="71" t="inlineStr">
        <is>
          <t>盘套 (2)!83, 盘套 (2)!88, 盘套 (2)!93</t>
        </is>
      </c>
    </row>
    <row r="19">
      <c r="A19" s="71" t="inlineStr">
        <is>
          <t>C63皮革拉毛底*白底</t>
        </is>
      </c>
      <c r="B19" s="71" t="inlineStr">
        <is>
          <t>黑色</t>
        </is>
      </c>
      <c r="C19" s="71" t="inlineStr">
        <is>
          <t>米</t>
        </is>
      </c>
      <c r="D19" s="71" t="inlineStr">
        <is>
          <t>1.42</t>
        </is>
      </c>
      <c r="E19" s="72" t="n">
        <v>13.95</v>
      </c>
      <c r="F19" s="71" t="inlineStr">
        <is>
          <t>盘套 (2)!17, 盘套 (2)!26, 盘套 (2)!35, 盘套 (2)!44</t>
        </is>
      </c>
    </row>
    <row r="20">
      <c r="A20" s="71" t="inlineStr">
        <is>
          <t>C63皮革拉毛底*白底</t>
        </is>
      </c>
      <c r="B20" s="71" t="inlineStr">
        <is>
          <t>黑色</t>
        </is>
      </c>
      <c r="C20" s="71" t="inlineStr">
        <is>
          <t>米</t>
        </is>
      </c>
      <c r="D20" s="71" t="inlineStr">
        <is>
          <t>1.48</t>
        </is>
      </c>
      <c r="E20" s="72" t="n">
        <v>66.02499999999999</v>
      </c>
      <c r="F20" s="71" t="inlineStr">
        <is>
          <t>盘套 (2)!82, 盘套 (2)!87, 盘套 (2)!92, 盘套 (2)!117, 盘套 (2)!123, 盘套 (2)!129, 盘套 (2)!135</t>
        </is>
      </c>
    </row>
    <row r="21">
      <c r="A21" s="71" t="inlineStr">
        <is>
          <t>C63皮革拉毛底*需复合(0.3CM复合海绵18#*复合*黑色)</t>
        </is>
      </c>
      <c r="B21" s="71" t="inlineStr">
        <is>
          <t>黑色</t>
        </is>
      </c>
      <c r="C21" s="71" t="inlineStr">
        <is>
          <t>米</t>
        </is>
      </c>
      <c r="D21" s="71" t="inlineStr">
        <is>
          <t>1.48</t>
        </is>
      </c>
      <c r="E21" s="72" t="n">
        <v>39.90000000000001</v>
      </c>
      <c r="F21" s="71" t="inlineStr">
        <is>
          <t>盘套 (2)!96, 盘套 (2)!103, 盘套 (2)!110</t>
        </is>
      </c>
    </row>
    <row r="22">
      <c r="A22" s="71" t="inlineStr">
        <is>
          <t>K225*奔驰纹皮革-0.7厚*拉毛底</t>
        </is>
      </c>
      <c r="B22" s="71" t="inlineStr">
        <is>
          <t>粉色</t>
        </is>
      </c>
      <c r="C22" s="71" t="inlineStr">
        <is>
          <t>米</t>
        </is>
      </c>
      <c r="D22" s="71" t="inlineStr">
        <is>
          <t>1.5</t>
        </is>
      </c>
      <c r="E22" s="72" t="n">
        <v>13.5</v>
      </c>
      <c r="F22" s="71" t="inlineStr">
        <is>
          <t>盘套 (2)!74</t>
        </is>
      </c>
    </row>
    <row r="23">
      <c r="A23" s="71" t="inlineStr">
        <is>
          <t>P496小方格皮革针织底</t>
        </is>
      </c>
      <c r="B23" s="71" t="inlineStr">
        <is>
          <t>黑色</t>
        </is>
      </c>
      <c r="C23" s="71" t="inlineStr">
        <is>
          <t>米</t>
        </is>
      </c>
      <c r="D23" s="71" t="inlineStr">
        <is>
          <t>1.48</t>
        </is>
      </c>
      <c r="E23" s="72" t="n">
        <v>34.85</v>
      </c>
      <c r="F23" s="71" t="inlineStr">
        <is>
          <t>盘套 (2)!118, 盘套 (2)!124, 盘套 (2)!130, 盘套 (2)!136</t>
        </is>
      </c>
    </row>
    <row r="24">
      <c r="A24" s="71" t="inlineStr">
        <is>
          <t>八米网布*需复合        （衬底用要单复，有库存边角料的先用库存下料）(0.2CM复合海绵16#*灰色)</t>
        </is>
      </c>
      <c r="B24" s="71" t="inlineStr">
        <is>
          <t>灰色</t>
        </is>
      </c>
      <c r="C24" s="71" t="inlineStr">
        <is>
          <t>米</t>
        </is>
      </c>
      <c r="D24" s="71" t="inlineStr">
        <is>
          <t>1.8</t>
        </is>
      </c>
      <c r="E24" s="72" t="n">
        <v>14.025</v>
      </c>
      <c r="F24" s="71" t="inlineStr">
        <is>
          <t>盘套 (2)!20</t>
        </is>
      </c>
    </row>
    <row r="25">
      <c r="A25" s="71" t="inlineStr">
        <is>
          <t>八米网布*需复合        （衬底用要单复，有库存边角料的先用库存下料）(0.2CM复合海绵16#*灰色)</t>
        </is>
      </c>
      <c r="B25" s="71" t="inlineStr">
        <is>
          <t>白色</t>
        </is>
      </c>
      <c r="C25" s="71" t="inlineStr">
        <is>
          <t>米</t>
        </is>
      </c>
      <c r="D25" s="71" t="inlineStr">
        <is>
          <t>1.8</t>
        </is>
      </c>
      <c r="E25" s="72" t="n">
        <v>10.2</v>
      </c>
      <c r="F25" s="71" t="inlineStr">
        <is>
          <t>盘套 (2)!38</t>
        </is>
      </c>
    </row>
    <row r="26">
      <c r="A26" s="71" t="inlineStr">
        <is>
          <t>八米网布*需复合        （衬底用要单复，有库存边角料的先用库存下料）(0.2CM复合海绵16#*灰色)</t>
        </is>
      </c>
      <c r="B26" s="71" t="inlineStr">
        <is>
          <t>红色</t>
        </is>
      </c>
      <c r="C26" s="71" t="inlineStr">
        <is>
          <t>米</t>
        </is>
      </c>
      <c r="D26" s="71" t="inlineStr">
        <is>
          <t>1.8</t>
        </is>
      </c>
      <c r="E26" s="72" t="n">
        <v>10.2</v>
      </c>
      <c r="F26" s="71" t="inlineStr">
        <is>
          <t>盘套 (2)!47</t>
        </is>
      </c>
    </row>
    <row r="27">
      <c r="A27" s="71" t="inlineStr">
        <is>
          <t>八米网布*需复合        （衬底用要单复，有库存边角料的先用库存下料）(0.2CM复合海绵16#*灰色)</t>
        </is>
      </c>
      <c r="B27" s="71" t="inlineStr">
        <is>
          <t>蓝色</t>
        </is>
      </c>
      <c r="C27" s="71" t="inlineStr">
        <is>
          <t>米</t>
        </is>
      </c>
      <c r="D27" s="71" t="inlineStr">
        <is>
          <t>1.8</t>
        </is>
      </c>
      <c r="E27" s="72" t="n">
        <v>5.1</v>
      </c>
      <c r="F27" s="71" t="inlineStr">
        <is>
          <t>盘套 (2)!29</t>
        </is>
      </c>
    </row>
    <row r="28">
      <c r="A28" s="71" t="inlineStr">
        <is>
          <t>塑料PVC丝</t>
        </is>
      </c>
      <c r="B28" s="71" t="inlineStr">
        <is>
          <t>灰色</t>
        </is>
      </c>
      <c r="C28" s="71" t="inlineStr">
        <is>
          <t>米</t>
        </is>
      </c>
      <c r="D28" s="71" t="inlineStr">
        <is>
          <t>/</t>
        </is>
      </c>
      <c r="E28" s="72" t="n">
        <v>497</v>
      </c>
      <c r="F28" s="71" t="inlineStr">
        <is>
          <t>盘套 (2)!19, 盘套 (2)!119</t>
        </is>
      </c>
    </row>
    <row r="29">
      <c r="A29" s="71" t="inlineStr">
        <is>
          <t>塑料PVC丝</t>
        </is>
      </c>
      <c r="B29" s="71" t="inlineStr">
        <is>
          <t>白色</t>
        </is>
      </c>
      <c r="C29" s="71" t="inlineStr">
        <is>
          <t>米</t>
        </is>
      </c>
      <c r="D29" s="71" t="inlineStr">
        <is>
          <t>/</t>
        </is>
      </c>
      <c r="E29" s="72" t="n">
        <v>272</v>
      </c>
      <c r="F29" s="71" t="inlineStr">
        <is>
          <t>盘套 (2)!37</t>
        </is>
      </c>
    </row>
    <row r="30">
      <c r="A30" s="71" t="inlineStr">
        <is>
          <t>塑料PVC丝</t>
        </is>
      </c>
      <c r="B30" s="71" t="inlineStr">
        <is>
          <t>粉色</t>
        </is>
      </c>
      <c r="C30" s="71" t="inlineStr">
        <is>
          <t>米</t>
        </is>
      </c>
      <c r="D30" s="71" t="inlineStr">
        <is>
          <t>/</t>
        </is>
      </c>
      <c r="E30" s="72" t="n">
        <v>123</v>
      </c>
      <c r="F30" s="71" t="inlineStr">
        <is>
          <t>盘套 (2)!137</t>
        </is>
      </c>
    </row>
    <row r="31">
      <c r="A31" s="71" t="inlineStr">
        <is>
          <t>塑料PVC丝</t>
        </is>
      </c>
      <c r="B31" s="71" t="inlineStr">
        <is>
          <t>红色</t>
        </is>
      </c>
      <c r="C31" s="71" t="inlineStr">
        <is>
          <t>米</t>
        </is>
      </c>
      <c r="D31" s="71" t="inlineStr">
        <is>
          <t>/</t>
        </is>
      </c>
      <c r="E31" s="72" t="n">
        <v>395</v>
      </c>
      <c r="F31" s="71" t="inlineStr">
        <is>
          <t>盘套 (2)!46, 盘套 (2)!125</t>
        </is>
      </c>
    </row>
    <row r="32">
      <c r="A32" s="71" t="inlineStr">
        <is>
          <t>塑料PVC丝</t>
        </is>
      </c>
      <c r="B32" s="71" t="inlineStr">
        <is>
          <t>蓝色</t>
        </is>
      </c>
      <c r="C32" s="71" t="inlineStr">
        <is>
          <t>米</t>
        </is>
      </c>
      <c r="D32" s="71" t="inlineStr">
        <is>
          <t>/</t>
        </is>
      </c>
      <c r="E32" s="72" t="n">
        <v>289.75</v>
      </c>
      <c r="F32" s="71" t="inlineStr">
        <is>
          <t>盘套 (2)!28, 盘套 (2)!131</t>
        </is>
      </c>
    </row>
    <row r="33">
      <c r="A33" s="71" t="inlineStr">
        <is>
          <t>大8字镂空皮丁*周</t>
        </is>
      </c>
      <c r="B33" s="71" t="inlineStr">
        <is>
          <t>黑色</t>
        </is>
      </c>
      <c r="C33" s="71" t="inlineStr">
        <is>
          <t>片</t>
        </is>
      </c>
      <c r="D33" s="71" t="inlineStr">
        <is>
          <t>25.5X13.5</t>
        </is>
      </c>
      <c r="E33" s="72" t="n">
        <v>1550</v>
      </c>
      <c r="F33" s="71" t="inlineStr">
        <is>
          <t>盘套 (2)!22, 盘套 (2)!31, 盘套 (2)!40, 盘套 (2)!49</t>
        </is>
      </c>
    </row>
    <row r="34">
      <c r="A34" s="71" t="inlineStr">
        <is>
          <t>草席纹镜面革*不用复合</t>
        </is>
      </c>
      <c r="B34" s="71" t="inlineStr">
        <is>
          <t>红色</t>
        </is>
      </c>
      <c r="C34" s="71" t="inlineStr">
        <is>
          <t>米</t>
        </is>
      </c>
      <c r="D34" s="71" t="inlineStr">
        <is>
          <t>1.38</t>
        </is>
      </c>
      <c r="E34" s="72" t="n">
        <v>1.5</v>
      </c>
      <c r="F34" s="71" t="inlineStr">
        <is>
          <t>盘套 (2)!98</t>
        </is>
      </c>
    </row>
    <row r="35">
      <c r="A35" s="71" t="inlineStr">
        <is>
          <t>草席纹镜面革*不用复合</t>
        </is>
      </c>
      <c r="B35" s="71" t="inlineStr">
        <is>
          <t>蓝色</t>
        </is>
      </c>
      <c r="C35" s="71" t="inlineStr">
        <is>
          <t>米</t>
        </is>
      </c>
      <c r="D35" s="71" t="inlineStr">
        <is>
          <t>1.38</t>
        </is>
      </c>
      <c r="E35" s="72" t="n">
        <v>1.5</v>
      </c>
      <c r="F35" s="71" t="inlineStr">
        <is>
          <t>盘套 (2)!112</t>
        </is>
      </c>
    </row>
    <row r="36">
      <c r="A36" s="71" t="inlineStr">
        <is>
          <t>草席纹镜面革*不用复合</t>
        </is>
      </c>
      <c r="B36" s="71" t="inlineStr">
        <is>
          <t>黑色</t>
        </is>
      </c>
      <c r="C36" s="71" t="inlineStr">
        <is>
          <t>米</t>
        </is>
      </c>
      <c r="D36" s="71" t="inlineStr">
        <is>
          <t>1.38</t>
        </is>
      </c>
      <c r="E36" s="72" t="n">
        <v>1.5</v>
      </c>
      <c r="F36" s="71" t="inlineStr">
        <is>
          <t>盘套 (2)!105</t>
        </is>
      </c>
    </row>
    <row r="37">
      <c r="A37" s="71" t="inlineStr">
        <is>
          <t>麂皮绒（无弹力）*需复合    先复合好裁剪成122X24*1张可做7根，再拿去加工烫钻(0.26CM复合海绵45#*白色)</t>
        </is>
      </c>
      <c r="B37" s="71" t="inlineStr">
        <is>
          <t>粉色</t>
        </is>
      </c>
      <c r="C37" s="71" t="inlineStr">
        <is>
          <t>米</t>
        </is>
      </c>
      <c r="D37" s="71" t="inlineStr">
        <is>
          <t>1.5</t>
        </is>
      </c>
      <c r="E37" s="72" t="n">
        <v>3.4</v>
      </c>
      <c r="F37" s="71" t="inlineStr">
        <is>
          <t>盘套 (2)!75</t>
        </is>
      </c>
    </row>
    <row r="38">
      <c r="A38" s="71" t="inlineStr">
        <is>
          <t>麂皮绒（无弹力）*需复合    先复合好裁剪成122X24*1张可做7根，再拿去加工烫钻(0.3CM复合海绵18#*灰色)</t>
        </is>
      </c>
      <c r="B38" s="71" t="inlineStr">
        <is>
          <t>黑色</t>
        </is>
      </c>
      <c r="C38" s="71" t="inlineStr">
        <is>
          <t>米</t>
        </is>
      </c>
      <c r="D38" s="71" t="inlineStr">
        <is>
          <t>1.5</t>
        </is>
      </c>
      <c r="E38" s="72" t="n">
        <v>3.4</v>
      </c>
      <c r="F38" s="71" t="inlineStr">
        <is>
          <t>盘套 (2)!68</t>
        </is>
      </c>
    </row>
    <row r="39">
      <c r="A39" s="71" t="inlineStr">
        <is>
          <t>麂皮绒（无弹力）*需复合(0.3CM复合海绵18#*灰色)</t>
        </is>
      </c>
      <c r="B39" s="71" t="inlineStr">
        <is>
          <t>黑色</t>
        </is>
      </c>
      <c r="C39" s="71" t="inlineStr">
        <is>
          <t>米</t>
        </is>
      </c>
      <c r="D39" s="71" t="inlineStr">
        <is>
          <t>1.5</t>
        </is>
      </c>
      <c r="E39" s="72" t="n">
        <v>5.4</v>
      </c>
      <c r="F39" s="71" t="inlineStr">
        <is>
          <t>盘套 (2)!54, 盘套 (2)!61</t>
        </is>
      </c>
    </row>
    <row r="40">
      <c r="A40" s="71" t="inlineStr">
        <is>
          <t>麂皮绒（无弹力）先复合好再拿去加工烫钻，整根长度117CMX2.5CM，烫钻的范围114CM，两边留1.5CM，一定要烫牢固，烫钻具体要求同小许确认</t>
        </is>
      </c>
      <c r="B40" s="71" t="inlineStr">
        <is>
          <t>黑底粉钻</t>
        </is>
      </c>
      <c r="C40" s="71" t="inlineStr">
        <is>
          <t>根</t>
        </is>
      </c>
      <c r="D40" s="71" t="inlineStr">
        <is>
          <t>2.5CM宽</t>
        </is>
      </c>
      <c r="E40" s="72" t="n">
        <v>100</v>
      </c>
      <c r="F40" s="71" t="inlineStr">
        <is>
          <t>盘套 (2)!63</t>
        </is>
      </c>
    </row>
    <row r="41">
      <c r="A41" s="71" t="inlineStr">
        <is>
          <t>麂皮绒（无弹力）先复合好再拿去加工烫钻，整根长度117CMX2.5CM，烫钻的范围114CM，两边留1.5CM，一定要烫牢固，烫钻具体要求同小许确认</t>
        </is>
      </c>
      <c r="B41" s="71" t="inlineStr">
        <is>
          <t>黑底银钻</t>
        </is>
      </c>
      <c r="C41" s="71" t="inlineStr">
        <is>
          <t>根</t>
        </is>
      </c>
      <c r="D41" s="71" t="inlineStr">
        <is>
          <t>2.5CM宽</t>
        </is>
      </c>
      <c r="E41" s="72" t="n">
        <v>100</v>
      </c>
      <c r="F41" s="71" t="inlineStr">
        <is>
          <t>盘套 (2)!56</t>
        </is>
      </c>
    </row>
    <row r="42">
      <c r="A42" s="71" t="inlineStr">
        <is>
          <t>麂皮绒（无弹力）先复合好再拿去加工烫钻，整根长度119CMX2.5CM，烫钻的范围114CM，两边留2.5CM，一定要烫牢固，烫钻具体要求同小许确认</t>
        </is>
      </c>
      <c r="B42" s="71" t="inlineStr">
        <is>
          <t>粉底银钻</t>
        </is>
      </c>
      <c r="C42" s="71" t="inlineStr">
        <is>
          <t>根</t>
        </is>
      </c>
      <c r="D42" s="71" t="inlineStr">
        <is>
          <t>2.5CM宽</t>
        </is>
      </c>
      <c r="E42" s="72" t="n">
        <v>100</v>
      </c>
      <c r="F42" s="71" t="inlineStr">
        <is>
          <t>盘套 (2)!77</t>
        </is>
      </c>
    </row>
    <row r="43">
      <c r="A43" s="71" t="inlineStr">
        <is>
          <t>麂皮绒（无弹力）先复合好再拿去加工烫钻，整根长度119CMX2.5CM，烫钻的范围114CM，两边留2.5CM，一定要烫牢固，烫钻具体要求同小许确认</t>
        </is>
      </c>
      <c r="B43" s="71" t="inlineStr">
        <is>
          <t>黑底银钻</t>
        </is>
      </c>
      <c r="C43" s="71" t="inlineStr">
        <is>
          <t>根</t>
        </is>
      </c>
      <c r="D43" s="71" t="inlineStr">
        <is>
          <t>2.5CM宽</t>
        </is>
      </c>
      <c r="E43" s="72" t="n">
        <v>100</v>
      </c>
      <c r="F43" s="71" t="inlineStr">
        <is>
          <t>盘套 (2)!70</t>
        </is>
      </c>
    </row>
    <row r="44">
      <c r="A44" s="71" t="inlineStr">
        <is>
          <t>麂皮绒（有弹力）-需复合(0.85CM厚37#海绵*灰色)</t>
        </is>
      </c>
      <c r="B44" s="71" t="inlineStr">
        <is>
          <t>黑色</t>
        </is>
      </c>
      <c r="C44" s="71" t="inlineStr">
        <is>
          <t>米</t>
        </is>
      </c>
      <c r="D44" s="71" t="inlineStr">
        <is>
          <t>1.5</t>
        </is>
      </c>
      <c r="E44" s="72" t="n">
        <v>40.525</v>
      </c>
      <c r="F44" s="71" t="inlineStr">
        <is>
          <t>盘套 (2)!6, 盘套 (2)!12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JK</dc:creator>
  <dcterms:created xmlns:dcterms="http://purl.org/dc/terms/" xmlns:xsi="http://www.w3.org/2001/XMLSchema-instance" xsi:type="dcterms:W3CDTF">2026-06-24T08:35:28Z</dcterms:created>
  <dcterms:modified xmlns:dcterms="http://purl.org/dc/terms/" xmlns:xsi="http://www.w3.org/2001/XMLSchema-instance" xsi:type="dcterms:W3CDTF">2026-06-24T10:15:10Z</dcterms:modified>
  <cp:lastModifiedBy>JK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A26C2512D9634147978E90806F9FEEFD_11</vt:lpwstr>
  </property>
  <property name="KSOProductBuildVer" fmtid="{D5CDD505-2E9C-101B-9397-08002B2CF9AE}" pid="3">
    <vt:lpwstr xmlns:vt="http://schemas.openxmlformats.org/officeDocument/2006/docPropsVTypes">2052-12.1.0.24031</vt:lpwstr>
  </property>
  <property name="CalculationRule" fmtid="{D5CDD505-2E9C-101B-9397-08002B2CF9AE}" pid="4">
    <vt:i4 xmlns:vt="http://schemas.openxmlformats.org/officeDocument/2006/docPropsVTypes">1</vt:i4>
  </property>
</Properties>
</file>