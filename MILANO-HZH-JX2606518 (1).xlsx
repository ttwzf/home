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4175" activeTab="2"/>
  </bookViews>
  <sheets>
    <sheet name="车罩" sheetId="1" r:id="rId1"/>
    <sheet name="椅套、坐垫" sheetId="2" r:id="rId2"/>
    <sheet name="盘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<sst xmlns="http://schemas.openxmlformats.org/spreadsheetml/2006/main" count="2142" uniqueCount="263">
  <si>
    <t>浙江佳轩汽车用品有限公司</t>
  </si>
  <si>
    <r>
      <t xml:space="preserve">购货单位：MILANO-HZH        生产单号：JX2606518   制单日期：2026.6.19   </t>
    </r>
    <r>
      <rPr>
        <b/>
        <sz val="12"/>
        <color rgb="FFFF0000"/>
        <rFont val="宋体"/>
        <charset val="134"/>
      </rPr>
      <t>变更日期：2024/9/3</t>
    </r>
  </si>
  <si>
    <t>产品主要材料清单</t>
  </si>
  <si>
    <t>材料名称</t>
  </si>
  <si>
    <t>颜色</t>
  </si>
  <si>
    <t>单位</t>
  </si>
  <si>
    <t>门幅/规格</t>
  </si>
  <si>
    <t>单件用料</t>
  </si>
  <si>
    <t>订单数量</t>
  </si>
  <si>
    <t>订单用量</t>
  </si>
  <si>
    <t>JX-CAR COVER-M</t>
  </si>
  <si>
    <t>250克PVC复针刺棉</t>
  </si>
  <si>
    <t>灰色</t>
  </si>
  <si>
    <t>米</t>
  </si>
  <si>
    <t>2CM平纹带</t>
  </si>
  <si>
    <t>反光带1.5*0.5CM</t>
  </si>
  <si>
    <t>橘黄色</t>
  </si>
  <si>
    <t>普通型号布标</t>
  </si>
  <si>
    <t>白色</t>
  </si>
  <si>
    <t>个</t>
  </si>
  <si>
    <t>1.5松紧</t>
  </si>
  <si>
    <t>5号拉链</t>
  </si>
  <si>
    <t>5号拉链头带锁的那种</t>
  </si>
  <si>
    <t>5号圆柄拉链头，铁头</t>
  </si>
  <si>
    <t>210D15*21牛津布涂PVC网纹（车罩袋用）</t>
  </si>
  <si>
    <t>浅灰</t>
  </si>
  <si>
    <t>灰色皮丝颜色和质量照样品</t>
  </si>
  <si>
    <t>灰2.5CM宽平纹包边带，颜色和质量照样品</t>
  </si>
  <si>
    <t>44*35PVC  12丝</t>
  </si>
  <si>
    <t>透明</t>
  </si>
  <si>
    <t>张</t>
  </si>
  <si>
    <t>切片加圆角</t>
  </si>
  <si>
    <t>线</t>
  </si>
  <si>
    <t>JX-CAR COVER-L</t>
  </si>
  <si>
    <t>JX-CAR COVER-XXL</t>
  </si>
  <si>
    <t>灰色皮丝,颜色和质量照样品</t>
  </si>
  <si>
    <t>JX-CAR COVER-XXXL</t>
  </si>
  <si>
    <t xml:space="preserve">                  浙江佳轩汽车用品有限公司</t>
  </si>
  <si>
    <r>
      <t xml:space="preserve">购货单位：MILANO-HZH        生产单号：JX2606518         制单日期: 2026.6.19       </t>
    </r>
    <r>
      <rPr>
        <b/>
        <sz val="12"/>
        <color rgb="FFFF0000"/>
        <rFont val="宋体"/>
        <charset val="134"/>
      </rPr>
      <t>变更日期：---</t>
    </r>
  </si>
  <si>
    <t>JX-161003黑拼黑</t>
  </si>
  <si>
    <t>黑色花点绒</t>
  </si>
  <si>
    <t>3mm灰海棉18#</t>
  </si>
  <si>
    <t>双复黑色纱布</t>
  </si>
  <si>
    <t>黑色花点绒冲孔</t>
  </si>
  <si>
    <t>黑色8米网布</t>
  </si>
  <si>
    <t>2mm灰海棉25#</t>
  </si>
  <si>
    <t>50克黑色无纺布</t>
  </si>
  <si>
    <r>
      <t>1.3CM海绵</t>
    </r>
    <r>
      <rPr>
        <b/>
        <sz val="12"/>
        <color rgb="FFFF0000"/>
        <rFont val="宋体"/>
        <charset val="134"/>
      </rPr>
      <t>30</t>
    </r>
    <r>
      <rPr>
        <sz val="12"/>
        <rFont val="宋体"/>
        <charset val="134"/>
      </rPr>
      <t>#</t>
    </r>
  </si>
  <si>
    <t>客户织标(尺寸做小一点）同业务确认</t>
  </si>
  <si>
    <t>只</t>
  </si>
  <si>
    <t>黑色皮丝中粗</t>
  </si>
  <si>
    <t>中粗</t>
  </si>
  <si>
    <t>1.2铁钩30只/袋</t>
  </si>
  <si>
    <t>袋</t>
  </si>
  <si>
    <t>/</t>
  </si>
  <si>
    <t>0.8黑色松紧</t>
  </si>
  <si>
    <t>JX-161004全灰</t>
  </si>
  <si>
    <t>灰色立体绒</t>
  </si>
  <si>
    <t>灰色8米网布</t>
  </si>
  <si>
    <t>扶手海绵：33*11.5*3,30#</t>
  </si>
  <si>
    <t>对</t>
  </si>
  <si>
    <t>33*11.5*3</t>
  </si>
  <si>
    <t>扶手海绵：26.5*10.5*3,30#</t>
  </si>
  <si>
    <t>26.5*10.5*3</t>
  </si>
  <si>
    <t>扶手海绵：22*9.5*3,30#</t>
  </si>
  <si>
    <t>22*9.5*3</t>
  </si>
  <si>
    <t>腰靠海绵：28*16.5*5,30#</t>
  </si>
  <si>
    <t>28*16.5*5</t>
  </si>
  <si>
    <t>1.3CM张海绵30#</t>
  </si>
  <si>
    <t xml:space="preserve"> </t>
  </si>
  <si>
    <t>灰色皮丝中粗</t>
  </si>
  <si>
    <t>1.2铁钩25只/袋</t>
  </si>
  <si>
    <t>JX-161004全黑</t>
  </si>
  <si>
    <t>黑色立体绒</t>
  </si>
  <si>
    <r>
      <t>1.3CM张海绵</t>
    </r>
    <r>
      <rPr>
        <b/>
        <sz val="12"/>
        <color indexed="10"/>
        <rFont val="宋体"/>
        <charset val="134"/>
      </rPr>
      <t>30</t>
    </r>
    <r>
      <rPr>
        <sz val="12"/>
        <rFont val="宋体"/>
        <charset val="134"/>
      </rPr>
      <t>#</t>
    </r>
  </si>
  <si>
    <t>JX-171002黑拼红</t>
  </si>
  <si>
    <t>黑色荔枝纹皮革（鱼鳞底）（0.5MM*1.62CM）</t>
  </si>
  <si>
    <t>红色单底双色三明治</t>
  </si>
  <si>
    <t>2mm灰色海绵25#</t>
  </si>
  <si>
    <t>红色皮丝中粗</t>
  </si>
  <si>
    <t>不复合黑色荔枝纹皮革，切5cm</t>
  </si>
  <si>
    <t>5cm</t>
  </si>
  <si>
    <t>腰靠海绵：26*22.5*5.5，30#</t>
  </si>
  <si>
    <t>26*22.5*5.5</t>
  </si>
  <si>
    <r>
      <t>1.3cm海绵</t>
    </r>
    <r>
      <rPr>
        <b/>
        <sz val="12"/>
        <color indexed="30"/>
        <rFont val="宋体"/>
        <charset val="134"/>
      </rPr>
      <t>30</t>
    </r>
    <r>
      <rPr>
        <sz val="12"/>
        <rFont val="宋体"/>
        <charset val="134"/>
      </rPr>
      <t>#</t>
    </r>
  </si>
  <si>
    <t>JX-171002黑拼灰</t>
  </si>
  <si>
    <t>灰色单底双色三明治</t>
  </si>
  <si>
    <t>JX-171002黑+黑</t>
  </si>
  <si>
    <t>黑色荔枝纹皮革鱼鳞底（0.5MM*1.62CM）</t>
  </si>
  <si>
    <t>黑色单底双色三明治</t>
  </si>
  <si>
    <t>JX-171020黑+灰</t>
  </si>
  <si>
    <t>JX-171020黑+蓝</t>
  </si>
  <si>
    <t>蓝色8米网布</t>
  </si>
  <si>
    <t>JX-171020黑+红</t>
  </si>
  <si>
    <t>红色8米网布</t>
  </si>
  <si>
    <t>JX-191005黑拼黑</t>
  </si>
  <si>
    <t>黑色荔枝纹皮革（鱼鳞底）</t>
  </si>
  <si>
    <t>5mm白色海棉30#</t>
  </si>
  <si>
    <t>双复0023米色印花底布</t>
  </si>
  <si>
    <t>2.5mm白色海棉28#</t>
  </si>
  <si>
    <t>双复白色长网眼布</t>
  </si>
  <si>
    <t>0023米色印花底布</t>
  </si>
  <si>
    <t>1.5mm白色海棉18#</t>
  </si>
  <si>
    <t>5mm白色泡棉</t>
  </si>
  <si>
    <t xml:space="preserve">180克白色硬质棉 </t>
  </si>
  <si>
    <t>黑色机编（复EVA)</t>
  </si>
  <si>
    <t>切2cm黑色荔枝纹皮革（鱼鳞底）</t>
  </si>
  <si>
    <t xml:space="preserve">2.5mm黑色圆嵌丝  </t>
  </si>
  <si>
    <t>切3.4cm黑色荔枝纹皮革（鱼鳞底）</t>
  </si>
  <si>
    <t>3.4cm</t>
  </si>
  <si>
    <t>2.5cm普通插扣黑色</t>
  </si>
  <si>
    <t>黑色塑料八架10个+2.5cm铁钩6个/袋</t>
  </si>
  <si>
    <t xml:space="preserve">5号黑色自动头拉链45cm </t>
  </si>
  <si>
    <t>根</t>
  </si>
  <si>
    <t xml:space="preserve">5号黑色拉链  </t>
  </si>
  <si>
    <t>5号黑色拉链头自动锁</t>
  </si>
  <si>
    <t>2.3CM黑色普通松紧</t>
  </si>
  <si>
    <t>2.3cm</t>
  </si>
  <si>
    <t>3.0CM黑色普通松紧</t>
  </si>
  <si>
    <t>3cm</t>
  </si>
  <si>
    <t>JX-191005黑+红</t>
  </si>
  <si>
    <t>红色荔枝纹皮革（鱼鳞底）</t>
  </si>
  <si>
    <t>切2cm红色荔枝纹皮革（鱼鳞底）</t>
  </si>
  <si>
    <t>JX-191005黑+白</t>
  </si>
  <si>
    <t>2.5mm白色海棉30#</t>
  </si>
  <si>
    <t>白色荔枝纹皮革（鱼鳞底）</t>
  </si>
  <si>
    <t>切2cm白色荔枝纹皮革（鱼鳞底）</t>
  </si>
  <si>
    <t>JX-191005黑+蓝</t>
  </si>
  <si>
    <t>蓝色荔枝纹皮革（鱼鳞底）</t>
  </si>
  <si>
    <t>1.5mm白色海棉16#</t>
  </si>
  <si>
    <t>切2cm蓝色荔枝纹皮革（鱼鳞底）</t>
  </si>
  <si>
    <t>JX-191005黑+灰</t>
  </si>
  <si>
    <t>灰色荔枝纹皮革（鱼鳞底）</t>
  </si>
  <si>
    <t>切2cm灰色荔枝纹皮革（鱼鳞底）</t>
  </si>
  <si>
    <t>JX-231005-1黑嵌红</t>
  </si>
  <si>
    <t>5mm灰海棉18#</t>
  </si>
  <si>
    <t>黑色002光皮白色鱼鳞底（椅套用，规格：0.60mmx160cm）绗缝红色线（具体同样品）</t>
  </si>
  <si>
    <t>双复20克黑色无纺布</t>
  </si>
  <si>
    <t>黑色1086半孔纹皮革鱼鳞底</t>
  </si>
  <si>
    <t>斜切1.8CM海绵（30#）38.5*13CM</t>
  </si>
  <si>
    <t>斜切1.8CM海绵（30#）24.5*12.5CM</t>
  </si>
  <si>
    <t>1.2铁钩44只/袋</t>
  </si>
  <si>
    <t>JX-231005-3黑嵌灰</t>
  </si>
  <si>
    <t>黑色002光皮白色鱼鳞底（椅套用，规格：0.60mmx160cm）绗缝灰色线（具体同样品）</t>
  </si>
  <si>
    <t>JX-231005-4黑嵌白</t>
  </si>
  <si>
    <t>黑色002光皮白色鱼鳞底（椅套用，规格：0.60mmx160cm）绗缝白色线（具体同样品）</t>
  </si>
  <si>
    <t>白色皮丝中粗</t>
  </si>
  <si>
    <t>JX-231012-1黑拼红</t>
  </si>
  <si>
    <t>红色荔枝纹皮革（鱼鳞底）（0.5MM*1.62CM）</t>
  </si>
  <si>
    <r>
      <rPr>
        <sz val="12"/>
        <rFont val="宋体"/>
        <charset val="134"/>
      </rPr>
      <t>1.3cm海绵</t>
    </r>
    <r>
      <rPr>
        <b/>
        <sz val="12"/>
        <color rgb="FFFF0000"/>
        <rFont val="宋体"/>
        <charset val="134"/>
      </rPr>
      <t>30</t>
    </r>
    <r>
      <rPr>
        <sz val="12"/>
        <rFont val="宋体"/>
        <charset val="134"/>
      </rPr>
      <t>#</t>
    </r>
  </si>
  <si>
    <t>1.2铁钩38只/袋</t>
  </si>
  <si>
    <t>备注：绣花</t>
  </si>
  <si>
    <t>套</t>
  </si>
  <si>
    <t>前靠=2张 
  前座=2张</t>
  </si>
  <si>
    <t>JX-231012-2黑拼灰</t>
  </si>
  <si>
    <t>灰色荔枝纹皮革（鱼鳞底）（0.5MM*1.62CM）</t>
  </si>
  <si>
    <t>JX-231012-3黑拼蓝</t>
  </si>
  <si>
    <t>蓝色荔枝纹皮革（鱼鳞底）（0.5MM*1.62CM）</t>
  </si>
  <si>
    <t>前靠=2张  
 前座=2张</t>
  </si>
  <si>
    <t>JX-231012-4全黑</t>
  </si>
  <si>
    <t>JX-231015-1黑拼红</t>
  </si>
  <si>
    <t>3mm灰海棉25#</t>
  </si>
  <si>
    <t>红色皮丝中粗（同面料配色）</t>
  </si>
  <si>
    <t>备注：绣花8张</t>
  </si>
  <si>
    <t>JX-231015-2黑拼蓝</t>
  </si>
  <si>
    <t>蓝色单底双色三明治</t>
  </si>
  <si>
    <t>蓝色皮丝中粗（同面料配色）</t>
  </si>
  <si>
    <t>JX-231015-3黑拼灰</t>
  </si>
  <si>
    <t>灰色皮丝中粗（同面料配色）</t>
  </si>
  <si>
    <t>JX-231015-4黑拼白</t>
  </si>
  <si>
    <t>白色单底双色三明治</t>
  </si>
  <si>
    <t>白色皮丝中粗（同面料配色）</t>
  </si>
  <si>
    <t>JX-231205黑+黑</t>
  </si>
  <si>
    <t>B556黑色草席纹皮革（鱼鳞底）</t>
  </si>
  <si>
    <t>2mm白色海棉16#</t>
  </si>
  <si>
    <t>黑色拉毛布</t>
  </si>
  <si>
    <t>160克白色硬质棉</t>
  </si>
  <si>
    <t>1cm白色海绵（30#）</t>
  </si>
  <si>
    <t>红色4.0皮丝（亮）</t>
  </si>
  <si>
    <t xml:space="preserve">10cm黑色粘扣（刺） </t>
  </si>
  <si>
    <t>JX-231205黑+灰</t>
  </si>
  <si>
    <t>5mm白色海棉32#</t>
  </si>
  <si>
    <t>B556灰色草席纹皮革（鱼鳞底）</t>
  </si>
  <si>
    <t>1cm白色海绵（32#）</t>
  </si>
  <si>
    <t>黑色4.0中粗皮丝（亮）</t>
  </si>
  <si>
    <t>JX-231205黑+红</t>
  </si>
  <si>
    <t>B556红色草席纹皮革（鱼鳞底）</t>
  </si>
  <si>
    <t>黑色4.0皮丝（亮）</t>
  </si>
  <si>
    <t>JX-231206-1黑嵌红</t>
  </si>
  <si>
    <t>0023米色底布</t>
  </si>
  <si>
    <t>2.5cm内销插扣黑色</t>
  </si>
  <si>
    <t>JX-231206-2黑嵌蓝</t>
  </si>
  <si>
    <t>蓝色4.0皮丝（亮）</t>
  </si>
  <si>
    <t>JX-231206-3黑嵌灰</t>
  </si>
  <si>
    <t>灰色4.0中粗皮丝（亮）</t>
  </si>
  <si>
    <t>JX-231206-4黑嵌白</t>
  </si>
  <si>
    <t>白色4.0皮丝（亮）</t>
  </si>
  <si>
    <t>JX-2312210-5黑+粉色</t>
  </si>
  <si>
    <t>黑色奔驰纹皮革（鱼鳞底）</t>
  </si>
  <si>
    <t>粉色奔驰纹皮革（鱼鳞底）</t>
  </si>
  <si>
    <r>
      <rPr>
        <sz val="12"/>
        <rFont val="宋体"/>
        <charset val="134"/>
      </rPr>
      <t>切2cm粉色奔驰纹皮革（鱼鳞底）</t>
    </r>
    <r>
      <rPr>
        <b/>
        <sz val="12"/>
        <color rgb="FFFF0000"/>
        <rFont val="宋体"/>
        <charset val="134"/>
      </rPr>
      <t>（同面料配色）</t>
    </r>
  </si>
  <si>
    <t xml:space="preserve">                                       浙江佳轩汽车用品有限公司</t>
  </si>
  <si>
    <t xml:space="preserve">  购货单位：MILANO-HZH  JX2606518  制单日期: 2026.6.19      更改日期: 2026/6/16</t>
  </si>
  <si>
    <t>JX-163142-1</t>
  </si>
  <si>
    <t>002冲孔皮革拉毛底</t>
  </si>
  <si>
    <t>黑色</t>
  </si>
  <si>
    <r>
      <t>麂皮绒（有弹力）-</t>
    </r>
    <r>
      <rPr>
        <b/>
        <sz val="12"/>
        <color indexed="12"/>
        <rFont val="宋体"/>
        <charset val="134"/>
      </rPr>
      <t>需复合</t>
    </r>
  </si>
  <si>
    <t>0.85CM厚37#海绵（复合）</t>
  </si>
  <si>
    <t>38*8.2白色塑胶圈200克</t>
  </si>
  <si>
    <t>38*8.2</t>
  </si>
  <si>
    <t>0.85CM厚37#海绵（里衬）</t>
  </si>
  <si>
    <t>JX-163146-1</t>
  </si>
  <si>
    <t>JX-203017-1 BLACK+GREY</t>
  </si>
  <si>
    <r>
      <t>C63皮革拉毛底*</t>
    </r>
    <r>
      <rPr>
        <b/>
        <sz val="12"/>
        <color indexed="12"/>
        <rFont val="宋体"/>
        <charset val="134"/>
      </rPr>
      <t>白底</t>
    </r>
  </si>
  <si>
    <t>塑料PVC丝</t>
  </si>
  <si>
    <r>
      <t xml:space="preserve">八米网布*需复合        </t>
    </r>
    <r>
      <rPr>
        <b/>
        <sz val="12"/>
        <color indexed="12"/>
        <rFont val="宋体"/>
        <charset val="134"/>
      </rPr>
      <t>（衬底用要单复，有库存边角料的先用库存下料）</t>
    </r>
  </si>
  <si>
    <r>
      <t>0.2CM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indexed="12"/>
        <rFont val="宋体"/>
        <charset val="134"/>
      </rPr>
      <t>16#</t>
    </r>
  </si>
  <si>
    <t>大8字镂空皮丁*周</t>
  </si>
  <si>
    <t>片</t>
  </si>
  <si>
    <t>25.5X13.5</t>
  </si>
  <si>
    <t>0.18CM厚/EVA内衬</t>
  </si>
  <si>
    <t>JX-203017-2 BLACK+BLUE</t>
  </si>
  <si>
    <t>蓝色</t>
  </si>
  <si>
    <t>JX-203017-3 BLACK+WHITE</t>
  </si>
  <si>
    <t>JX-203017-4 BLACK+RED</t>
  </si>
  <si>
    <t>红色</t>
  </si>
  <si>
    <t>JX-233003-1 BLACK+SILVER</t>
  </si>
  <si>
    <r>
      <t>麂皮绒（无弹力）*</t>
    </r>
    <r>
      <rPr>
        <b/>
        <sz val="12"/>
        <color rgb="FF0000FF"/>
        <rFont val="宋体"/>
        <charset val="134"/>
      </rPr>
      <t>需复合</t>
    </r>
  </si>
  <si>
    <r>
      <t>0.3CM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rgb="FF0000FF"/>
        <rFont val="宋体"/>
        <charset val="134"/>
      </rPr>
      <t>18#</t>
    </r>
  </si>
  <si>
    <r>
      <t>麂皮绒（无弹力）</t>
    </r>
    <r>
      <rPr>
        <b/>
        <sz val="12"/>
        <color rgb="FF0000FF"/>
        <rFont val="宋体"/>
        <charset val="134"/>
      </rPr>
      <t>先复合好再拿去加工烫钻，整根长度117CMX2.5CM，烫钻的范围114CM，两边留1.5CM，一定要烫牢固，烫钻具体要求同小许确认</t>
    </r>
  </si>
  <si>
    <t>黑底银钻</t>
  </si>
  <si>
    <t>2.5CM宽</t>
  </si>
  <si>
    <t>JX-233003-2BLACK+PINK</t>
  </si>
  <si>
    <t>黑底粉钻</t>
  </si>
  <si>
    <t>JX-233004 BLACK+SILVER</t>
  </si>
  <si>
    <r>
      <t>麂皮绒（无弹力）*</t>
    </r>
    <r>
      <rPr>
        <b/>
        <sz val="12"/>
        <color rgb="FF0000FF"/>
        <rFont val="宋体"/>
        <charset val="134"/>
      </rPr>
      <t>需复合    先复合好裁剪成122X24*1张可做7根，再拿去加工烫钻</t>
    </r>
  </si>
  <si>
    <r>
      <t>0.3CM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indexed="12"/>
        <rFont val="宋体"/>
        <charset val="134"/>
      </rPr>
      <t>18#</t>
    </r>
  </si>
  <si>
    <r>
      <t>麂皮绒（无弹力）</t>
    </r>
    <r>
      <rPr>
        <b/>
        <sz val="12"/>
        <color rgb="FF0000FF"/>
        <rFont val="宋体"/>
        <charset val="134"/>
      </rPr>
      <t>先复合好再拿去加工烫钻，整根长度119CMX2.5CM，烫钻的范围114CM，两边留2.5CM，一定要烫牢固，烫钻具体要求同小许确认</t>
    </r>
  </si>
  <si>
    <t>JX-233005-5 PINK+SILVER</t>
  </si>
  <si>
    <r>
      <t>K225*奔驰纹皮革</t>
    </r>
    <r>
      <rPr>
        <b/>
        <sz val="12"/>
        <color rgb="FF0000FF"/>
        <rFont val="宋体"/>
        <charset val="134"/>
      </rPr>
      <t>-0.7厚*拉毛底</t>
    </r>
  </si>
  <si>
    <t>粉色</t>
  </si>
  <si>
    <r>
      <t>0.26CM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rgb="FF0000FF"/>
        <rFont val="宋体"/>
        <charset val="134"/>
      </rPr>
      <t>45#*</t>
    </r>
  </si>
  <si>
    <t>粉底银钻</t>
  </si>
  <si>
    <t>JX-233014-1 BLACK+RED</t>
  </si>
  <si>
    <r>
      <t>002光皮拉毛底</t>
    </r>
    <r>
      <rPr>
        <b/>
        <sz val="12"/>
        <color indexed="12"/>
        <rFont val="宋体"/>
        <charset val="134"/>
      </rPr>
      <t>（左右小块）</t>
    </r>
  </si>
  <si>
    <t>401草席纹皮革拉毛底</t>
  </si>
  <si>
    <r>
      <t>38*8.2白色塑胶耳朵圈240克</t>
    </r>
    <r>
      <rPr>
        <b/>
        <sz val="12"/>
        <color indexed="12"/>
        <rFont val="宋体"/>
        <charset val="134"/>
      </rPr>
      <t xml:space="preserve">          </t>
    </r>
    <r>
      <rPr>
        <b/>
        <sz val="12"/>
        <color indexed="12"/>
        <rFont val="微软雅黑"/>
        <family val="2"/>
        <charset val="134"/>
      </rPr>
      <t>（采购耳朵圈上下必须要有中心线点位，左右耳朵中心也要点位，便于车工套圈对位，两边做均匀）</t>
    </r>
  </si>
  <si>
    <t>JX-233014-2 BLACK+GREY</t>
  </si>
  <si>
    <t>JX-233014-4 BLACK+BLUE</t>
  </si>
  <si>
    <r>
      <t>38*8.2白色塑胶耳朵圈230克</t>
    </r>
    <r>
      <rPr>
        <b/>
        <sz val="12"/>
        <color indexed="12"/>
        <rFont val="宋体"/>
        <charset val="134"/>
      </rPr>
      <t xml:space="preserve">          </t>
    </r>
    <r>
      <rPr>
        <b/>
        <sz val="12"/>
        <color indexed="12"/>
        <rFont val="微软雅黑"/>
        <family val="2"/>
        <charset val="134"/>
      </rPr>
      <t>（采购耳朵圈上下必须要有中心线点位，左右耳朵中心也要点位，便于车工套圈对位，两边做均匀）</t>
    </r>
  </si>
  <si>
    <t>JX-233039-1 BLACK+RED</t>
  </si>
  <si>
    <r>
      <t>C63皮革拉毛底*</t>
    </r>
    <r>
      <rPr>
        <b/>
        <sz val="12"/>
        <color indexed="12"/>
        <rFont val="宋体"/>
        <charset val="134"/>
      </rPr>
      <t>需复合</t>
    </r>
  </si>
  <si>
    <r>
      <t>0.3CM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indexed="12"/>
        <rFont val="宋体"/>
        <charset val="134"/>
      </rPr>
      <t>18#*复合</t>
    </r>
  </si>
  <si>
    <r>
      <t>草席纹镜面革*</t>
    </r>
    <r>
      <rPr>
        <b/>
        <sz val="12"/>
        <color indexed="12"/>
        <rFont val="宋体"/>
        <charset val="134"/>
      </rPr>
      <t>不用复合</t>
    </r>
  </si>
  <si>
    <r>
      <t>002冲孔皮革拉毛底*黑底</t>
    </r>
    <r>
      <rPr>
        <b/>
        <sz val="12"/>
        <color indexed="12"/>
        <rFont val="宋体"/>
        <charset val="134"/>
      </rPr>
      <t>需注塑</t>
    </r>
  </si>
  <si>
    <r>
      <t xml:space="preserve">002冲孔皮革拉毛底*黑底      </t>
    </r>
    <r>
      <rPr>
        <b/>
        <sz val="12"/>
        <color indexed="12"/>
        <rFont val="宋体"/>
        <charset val="134"/>
      </rPr>
      <t>注塑牛眼心图案</t>
    </r>
  </si>
  <si>
    <t>JX-233039-2 BLACK+BLACK</t>
  </si>
  <si>
    <t>JX-233039-3 BLACK+BLUE</t>
  </si>
  <si>
    <t>JX-233267-1 BLACK+GREY</t>
  </si>
  <si>
    <t xml:space="preserve">P496小方格皮革针织底 </t>
  </si>
  <si>
    <t>JX-233267-2 BLACK+RED</t>
  </si>
  <si>
    <t>JX-233267-3 BLACK+BLUE</t>
  </si>
  <si>
    <t>JX-233267-4 BLACK+PINK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</si>
</sst>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);[Red]\(0\)"/>
    <numFmt numFmtId="178" formatCode="0.00_);[Red]\(0.00\)"/>
    <numFmt numFmtId="179" formatCode="#,##0.000_ "/>
  </numFmts>
  <fonts count="43">
    <font>
      <sz val="11"/>
      <color theme="1"/>
      <name val="宋体"/>
      <charset val="134"/>
      <scheme val="minor"/>
    </font>
    <font>
      <b/>
      <sz val="16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name val="宋体"/>
      <charset val="134"/>
    </font>
    <font>
      <sz val="12"/>
      <name val="宋体"/>
      <charset val="134"/>
    </font>
    <font>
      <sz val="14"/>
      <name val="宋体"/>
      <charset val="134"/>
    </font>
    <font>
      <b/>
      <sz val="12"/>
      <color indexed="10"/>
      <name val="宋体"/>
      <charset val="134"/>
    </font>
    <font>
      <b/>
      <sz val="16"/>
      <color indexed="20"/>
      <name val="宋体"/>
      <charset val="134"/>
    </font>
    <font>
      <b/>
      <sz val="16"/>
      <color indexed="12"/>
      <name val="宋体"/>
      <charset val="134"/>
    </font>
    <font>
      <b/>
      <sz val="12"/>
      <color rgb="FFFF0000"/>
      <name val="宋体"/>
      <charset val="134"/>
    </font>
    <font>
      <b/>
      <sz val="16"/>
      <color rgb="FF800080"/>
      <name val="宋体"/>
      <charset val="134"/>
    </font>
    <font>
      <b/>
      <sz val="12"/>
      <color rgb="FF800080"/>
      <name val="宋体"/>
      <charset val="134"/>
    </font>
    <font>
      <b/>
      <sz val="14"/>
      <color rgb="FF0000FF"/>
      <name val="宋体"/>
      <charset val="134"/>
    </font>
    <font>
      <b/>
      <sz val="16"/>
      <color rgb="FF0000FF"/>
      <name val="宋体"/>
      <charset val="134"/>
    </font>
    <font>
      <b/>
      <sz val="12"/>
      <color rgb="FF0000FF"/>
      <name val="宋体"/>
      <charset val="134"/>
    </font>
    <font>
      <sz val="12"/>
      <color rgb="FF000000"/>
      <name val="宋体"/>
      <charset val="134"/>
    </font>
    <font>
      <b/>
      <sz val="16"/>
      <name val="宋体"/>
      <charset val="134"/>
    </font>
    <font>
      <b/>
      <sz val="16"/>
      <color rgb="FF002060"/>
      <name val="宋体"/>
      <charset val="134"/>
    </font>
    <font>
      <b/>
      <sz val="12"/>
      <color rgb="FF0070C0"/>
      <name val="宋体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2"/>
      <name val="宋体"/>
      <charset val="134"/>
    </font>
    <font>
      <b/>
      <sz val="12"/>
      <color indexed="30"/>
      <name val="宋体"/>
      <charset val="134"/>
    </font>
    <font>
      <b/>
      <sz val="12"/>
      <color indexed="12"/>
      <name val="微软雅黑"/>
      <family val="2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7" borderId="8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9">
      <alignment vertical="center"/>
    </xf>
    <xf numFmtId="0" fontId="27" fillId="0" borderId="9">
      <alignment vertical="center"/>
    </xf>
    <xf numFmtId="0" fontId="28" fillId="0" borderId="10">
      <alignment vertical="center"/>
    </xf>
    <xf numFmtId="0" fontId="28" fillId="0" borderId="0">
      <alignment vertical="center"/>
    </xf>
    <xf numFmtId="0" fontId="29" fillId="8" borderId="11">
      <alignment vertical="center"/>
    </xf>
    <xf numFmtId="0" fontId="30" fillId="9" borderId="12">
      <alignment vertical="center"/>
    </xf>
    <xf numFmtId="0" fontId="31" fillId="9" borderId="11">
      <alignment vertical="center"/>
    </xf>
    <xf numFmtId="0" fontId="32" fillId="10" borderId="13">
      <alignment vertical="center"/>
    </xf>
    <xf numFmtId="0" fontId="33" fillId="0" borderId="14">
      <alignment vertical="center"/>
    </xf>
    <xf numFmtId="0" fontId="34" fillId="0" borderId="15">
      <alignment vertical="center"/>
    </xf>
    <xf numFmtId="0" fontId="35" fillId="11" borderId="0">
      <alignment vertical="center"/>
    </xf>
    <xf numFmtId="0" fontId="36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9" fillId="15" borderId="0">
      <alignment vertical="center"/>
    </xf>
    <xf numFmtId="0" fontId="39" fillId="16" borderId="0">
      <alignment vertical="center"/>
    </xf>
    <xf numFmtId="0" fontId="38" fillId="17" borderId="0">
      <alignment vertical="center"/>
    </xf>
    <xf numFmtId="0" fontId="38" fillId="18" borderId="0">
      <alignment vertical="center"/>
    </xf>
    <xf numFmtId="0" fontId="39" fillId="19" borderId="0">
      <alignment vertical="center"/>
    </xf>
    <xf numFmtId="0" fontId="39" fillId="20" borderId="0">
      <alignment vertical="center"/>
    </xf>
    <xf numFmtId="0" fontId="38" fillId="21" borderId="0">
      <alignment vertical="center"/>
    </xf>
    <xf numFmtId="0" fontId="38" fillId="22" borderId="0">
      <alignment vertical="center"/>
    </xf>
    <xf numFmtId="0" fontId="39" fillId="23" borderId="0">
      <alignment vertical="center"/>
    </xf>
    <xf numFmtId="0" fontId="39" fillId="24" borderId="0">
      <alignment vertical="center"/>
    </xf>
    <xf numFmtId="0" fontId="38" fillId="25" borderId="0">
      <alignment vertical="center"/>
    </xf>
    <xf numFmtId="0" fontId="38" fillId="26" borderId="0">
      <alignment vertical="center"/>
    </xf>
    <xf numFmtId="0" fontId="39" fillId="27" borderId="0">
      <alignment vertical="center"/>
    </xf>
    <xf numFmtId="0" fontId="39" fillId="28" borderId="0">
      <alignment vertical="center"/>
    </xf>
    <xf numFmtId="0" fontId="38" fillId="29" borderId="0">
      <alignment vertical="center"/>
    </xf>
    <xf numFmtId="0" fontId="38" fillId="30" borderId="0">
      <alignment vertical="center"/>
    </xf>
    <xf numFmtId="0" fontId="39" fillId="31" borderId="0">
      <alignment vertical="center"/>
    </xf>
    <xf numFmtId="0" fontId="39" fillId="32" borderId="0">
      <alignment vertical="center"/>
    </xf>
    <xf numFmtId="0" fontId="38" fillId="33" borderId="0">
      <alignment vertical="center"/>
    </xf>
    <xf numFmtId="0" fontId="38" fillId="34" borderId="0">
      <alignment vertical="center"/>
    </xf>
    <xf numFmtId="0" fontId="39" fillId="35" borderId="0">
      <alignment vertical="center"/>
    </xf>
    <xf numFmtId="0" fontId="39" fillId="36" borderId="0">
      <alignment vertical="center"/>
    </xf>
    <xf numFmtId="0" fontId="38" fillId="37" borderId="0">
      <alignment vertical="center"/>
    </xf>
    <xf numFmtId="0" fontId="4" fillId="0" borderId="0"/>
    <xf numFmtId="0" fontId="4" fillId="0" borderId="0"/>
  </cellStyleXfs>
  <cellXfs count="15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readingOrder="1"/>
    </xf>
    <xf numFmtId="0" fontId="5" fillId="0" borderId="1" xfId="0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readingOrder="1"/>
    </xf>
    <xf numFmtId="0" fontId="7" fillId="0" borderId="1" xfId="0" applyFont="1" applyFill="1" applyBorder="1" applyAlignment="1">
      <alignment horizontal="center" vertical="center" readingOrder="1"/>
    </xf>
    <xf numFmtId="176" fontId="6" fillId="0" borderId="1" xfId="0" applyNumberFormat="1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 vertical="center" readingOrder="1"/>
    </xf>
    <xf numFmtId="0" fontId="4" fillId="0" borderId="1" xfId="49" applyFont="1" applyBorder="1" applyAlignment="1">
      <alignment horizontal="center" vertical="center" readingOrder="1"/>
    </xf>
    <xf numFmtId="0" fontId="4" fillId="0" borderId="1" xfId="49" applyBorder="1" applyAlignment="1">
      <alignment horizontal="center" vertical="center" readingOrder="1"/>
    </xf>
    <xf numFmtId="177" fontId="4" fillId="0" borderId="1" xfId="49" applyNumberFormat="1" applyBorder="1" applyAlignment="1">
      <alignment horizontal="center" vertical="center" readingOrder="1"/>
    </xf>
    <xf numFmtId="0" fontId="6" fillId="0" borderId="1" xfId="0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wrapText="1"/>
    </xf>
    <xf numFmtId="178" fontId="4" fillId="0" borderId="1" xfId="0" applyNumberFormat="1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vertical="center" readingOrder="1"/>
    </xf>
    <xf numFmtId="0" fontId="9" fillId="0" borderId="1" xfId="0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vertical="center" readingOrder="1"/>
    </xf>
    <xf numFmtId="0" fontId="4" fillId="0" borderId="4" xfId="0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readingOrder="1"/>
    </xf>
    <xf numFmtId="178" fontId="6" fillId="0" borderId="1" xfId="0" applyNumberFormat="1" applyFont="1" applyFill="1" applyBorder="1" applyAlignment="1">
      <alignment horizontal="center" vertical="center" readingOrder="1"/>
    </xf>
    <xf numFmtId="0" fontId="9" fillId="2" borderId="1" xfId="0" applyFont="1" applyFill="1" applyBorder="1" applyAlignment="1">
      <alignment horizontal="center" vertical="center" wrapText="1" readingOrder="1"/>
    </xf>
    <xf numFmtId="179" fontId="6" fillId="0" borderId="1" xfId="0" applyNumberFormat="1" applyFont="1" applyFill="1" applyBorder="1" applyAlignment="1">
      <alignment horizontal="center" vertical="center" readingOrder="1"/>
    </xf>
    <xf numFmtId="0" fontId="11" fillId="3" borderId="1" xfId="0" applyFont="1" applyFill="1" applyBorder="1" applyAlignment="1">
      <alignment horizontal="center" vertical="center" wrapText="1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13" fillId="0" borderId="1" xfId="0" applyFont="1" applyFill="1" applyBorder="1" applyAlignment="1">
      <alignment horizontal="center" vertical="center" readingOrder="1"/>
    </xf>
    <xf numFmtId="177" fontId="6" fillId="0" borderId="1" xfId="0" applyNumberFormat="1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readingOrder="1"/>
    </xf>
    <xf numFmtId="177" fontId="4" fillId="0" borderId="1" xfId="0" applyNumberFormat="1" applyFont="1" applyFill="1" applyBorder="1" applyAlignment="1">
      <alignment horizontal="center" vertical="center" readingOrder="1"/>
    </xf>
    <xf numFmtId="0" fontId="4" fillId="0" borderId="4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readingOrder="1"/>
    </xf>
    <xf numFmtId="0" fontId="9" fillId="0" borderId="1" xfId="0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vertical="center" readingOrder="1"/>
    </xf>
    <xf numFmtId="0" fontId="11" fillId="0" borderId="1" xfId="50" applyFont="1" applyBorder="1" applyAlignment="1">
      <alignment horizontal="center" vertical="center" readingOrder="1"/>
    </xf>
    <xf numFmtId="0" fontId="6" fillId="0" borderId="1" xfId="50" applyFont="1" applyBorder="1" applyAlignment="1">
      <alignment horizontal="center" vertical="center" readingOrder="1"/>
    </xf>
    <xf numFmtId="0" fontId="9" fillId="2" borderId="1" xfId="50" applyFont="1" applyFill="1" applyBorder="1" applyAlignment="1">
      <alignment horizontal="center" vertical="center" wrapText="1" readingOrder="1"/>
    </xf>
    <xf numFmtId="0" fontId="14" fillId="2" borderId="1" xfId="50" applyFont="1" applyFill="1" applyBorder="1" applyAlignment="1">
      <alignment horizontal="center" vertical="center" readingOrder="1"/>
    </xf>
    <xf numFmtId="177" fontId="9" fillId="0" borderId="1" xfId="0" applyNumberFormat="1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vertical="center" readingOrder="1"/>
    </xf>
    <xf numFmtId="176" fontId="14" fillId="0" borderId="1" xfId="0" applyNumberFormat="1" applyFont="1" applyFill="1" applyBorder="1" applyAlignment="1">
      <alignment horizontal="center" vertical="center" readingOrder="1"/>
    </xf>
    <xf numFmtId="0" fontId="13" fillId="2" borderId="1" xfId="0" applyFont="1" applyFill="1" applyBorder="1" applyAlignment="1">
      <alignment horizontal="center" vertical="center" readingOrder="1"/>
    </xf>
    <xf numFmtId="176" fontId="9" fillId="0" borderId="1" xfId="0" applyNumberFormat="1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vertical="center" readingOrder="1"/>
    </xf>
    <xf numFmtId="0" fontId="11" fillId="0" borderId="1" xfId="0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vertical="center" readingOrder="1"/>
    </xf>
    <xf numFmtId="0" fontId="15" fillId="0" borderId="1" xfId="0" applyFont="1" applyFill="1" applyBorder="1" applyAlignment="1">
      <alignment horizontal="center" vertical="center" readingOrder="1"/>
    </xf>
    <xf numFmtId="0" fontId="4" fillId="0" borderId="4" xfId="0" applyFont="1" applyFill="1" applyBorder="1" applyAlignment="1">
      <alignment horizontal="center" vertical="center" readingOrder="1"/>
    </xf>
    <xf numFmtId="0" fontId="16" fillId="0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>
      <alignment horizontal="center" readingOrder="1"/>
    </xf>
    <xf numFmtId="0" fontId="3" fillId="0" borderId="7" xfId="0" applyFont="1" applyFill="1" applyBorder="1" applyAlignment="1">
      <alignment horizontal="center" readingOrder="1"/>
    </xf>
    <xf numFmtId="0" fontId="5" fillId="0" borderId="5" xfId="0" applyFont="1" applyFill="1" applyBorder="1" applyAlignment="1">
      <alignment horizontal="center" vertical="center" readingOrder="1"/>
    </xf>
    <xf numFmtId="0" fontId="5" fillId="0" borderId="6" xfId="0" applyFont="1" applyFill="1" applyBorder="1" applyAlignment="1">
      <alignment horizontal="center" vertical="center" readingOrder="1"/>
    </xf>
    <xf numFmtId="0" fontId="5" fillId="0" borderId="7" xfId="0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readingOrder="1"/>
    </xf>
    <xf numFmtId="0" fontId="4" fillId="0" borderId="6" xfId="0" applyFont="1" applyFill="1" applyBorder="1" applyAlignment="1">
      <alignment horizontal="center" vertical="center" readingOrder="1"/>
    </xf>
    <xf numFmtId="0" fontId="4" fillId="0" borderId="7" xfId="0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readingOrder="1"/>
    </xf>
    <xf numFmtId="178" fontId="4" fillId="2" borderId="1" xfId="0" applyNumberFormat="1" applyFont="1" applyFill="1" applyBorder="1" applyAlignment="1">
      <alignment horizontal="center" vertical="center" readingOrder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readingOrder="1"/>
    </xf>
    <xf numFmtId="178" fontId="4" fillId="0" borderId="2" xfId="0" applyNumberFormat="1" applyFont="1" applyFill="1" applyBorder="1" applyAlignment="1">
      <alignment horizontal="center" vertical="center" readingOrder="1"/>
    </xf>
    <xf numFmtId="0" fontId="4" fillId="2" borderId="5" xfId="0" applyFont="1" applyFill="1" applyBorder="1" applyAlignment="1">
      <alignment horizontal="center" vertical="center" readingOrder="1"/>
    </xf>
    <xf numFmtId="0" fontId="4" fillId="2" borderId="6" xfId="0" applyFont="1" applyFill="1" applyBorder="1" applyAlignment="1">
      <alignment horizontal="center" vertical="center" readingOrder="1"/>
    </xf>
    <xf numFmtId="0" fontId="4" fillId="2" borderId="7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176" fontId="4" fillId="0" borderId="1" xfId="0" applyNumberFormat="1" applyFont="1" applyFill="1" applyBorder="1" applyAlignment="1">
      <alignment horizontal="center" vertical="center" readingOrder="1"/>
    </xf>
    <xf numFmtId="0" fontId="4" fillId="5" borderId="5" xfId="0" applyFont="1" applyFill="1" applyBorder="1" applyAlignment="1">
      <alignment horizontal="center" vertical="center" readingOrder="1"/>
    </xf>
    <xf numFmtId="0" fontId="4" fillId="5" borderId="6" xfId="0" applyFont="1" applyFill="1" applyBorder="1" applyAlignment="1">
      <alignment horizontal="center" vertical="center" readingOrder="1"/>
    </xf>
    <xf numFmtId="0" fontId="4" fillId="5" borderId="7" xfId="0" applyFont="1" applyFill="1" applyBorder="1" applyAlignment="1">
      <alignment horizontal="center" vertical="center" readingOrder="1"/>
    </xf>
    <xf numFmtId="0" fontId="4" fillId="5" borderId="1" xfId="0" applyFont="1" applyFill="1" applyBorder="1" applyAlignment="1">
      <alignment horizontal="center" vertical="center" readingOrder="1"/>
    </xf>
    <xf numFmtId="178" fontId="4" fillId="5" borderId="1" xfId="0" applyNumberFormat="1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readingOrder="1"/>
    </xf>
    <xf numFmtId="178" fontId="4" fillId="0" borderId="1" xfId="0" applyNumberFormat="1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center" vertical="center" wrapText="1" readingOrder="1"/>
    </xf>
    <xf numFmtId="178" fontId="4" fillId="0" borderId="2" xfId="0" applyNumberFormat="1" applyFont="1" applyFill="1" applyBorder="1" applyAlignment="1">
      <alignment horizontal="center" vertical="center" readingOrder="1"/>
    </xf>
    <xf numFmtId="0" fontId="4" fillId="0" borderId="4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readingOrder="1"/>
    </xf>
    <xf numFmtId="176" fontId="4" fillId="0" borderId="1" xfId="0" applyNumberFormat="1" applyFont="1" applyFill="1" applyBorder="1" applyAlignment="1">
      <alignment horizontal="center" vertical="center" readingOrder="1"/>
    </xf>
    <xf numFmtId="0" fontId="17" fillId="0" borderId="1" xfId="0" applyFont="1" applyFill="1" applyBorder="1" applyAlignment="1">
      <alignment horizontal="center" vertical="center" wrapText="1" readingOrder="1"/>
    </xf>
    <xf numFmtId="0" fontId="18" fillId="0" borderId="2" xfId="0" applyFont="1" applyFill="1" applyBorder="1" applyAlignment="1">
      <alignment horizontal="center" vertical="center" readingOrder="1"/>
    </xf>
    <xf numFmtId="0" fontId="18" fillId="0" borderId="1" xfId="0" applyFont="1" applyFill="1" applyBorder="1" applyAlignment="1">
      <alignment horizontal="center" vertical="center" readingOrder="1"/>
    </xf>
    <xf numFmtId="178" fontId="18" fillId="0" borderId="1" xfId="0" applyNumberFormat="1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readingOrder="1"/>
    </xf>
    <xf numFmtId="0" fontId="4" fillId="0" borderId="6" xfId="0" applyFont="1" applyFill="1" applyBorder="1" applyAlignment="1">
      <alignment horizontal="center" vertical="center" readingOrder="1"/>
    </xf>
    <xf numFmtId="0" fontId="4" fillId="0" borderId="7" xfId="0" applyFont="1" applyFill="1" applyBorder="1" applyAlignment="1">
      <alignment horizontal="center" vertical="center" readingOrder="1"/>
    </xf>
    <xf numFmtId="0" fontId="4" fillId="2" borderId="5" xfId="0" applyFont="1" applyFill="1" applyBorder="1" applyAlignment="1">
      <alignment horizontal="center" vertical="center" readingOrder="1"/>
    </xf>
    <xf numFmtId="0" fontId="4" fillId="2" borderId="6" xfId="0" applyFont="1" applyFill="1" applyBorder="1" applyAlignment="1">
      <alignment horizontal="center" vertical="center" readingOrder="1"/>
    </xf>
    <xf numFmtId="0" fontId="4" fillId="2" borderId="7" xfId="0" applyFont="1" applyFill="1" applyBorder="1" applyAlignment="1">
      <alignment horizontal="center" vertical="center" readingOrder="1"/>
    </xf>
    <xf numFmtId="0" fontId="9" fillId="0" borderId="5" xfId="0" applyFont="1" applyFill="1" applyBorder="1" applyAlignment="1">
      <alignment horizontal="center" vertical="center" readingOrder="1"/>
    </xf>
    <xf numFmtId="0" fontId="9" fillId="0" borderId="6" xfId="0" applyFont="1" applyFill="1" applyBorder="1" applyAlignment="1">
      <alignment horizontal="center" vertical="center" readingOrder="1"/>
    </xf>
    <xf numFmtId="0" fontId="9" fillId="0" borderId="7" xfId="0" applyFont="1" applyFill="1" applyBorder="1" applyAlignment="1">
      <alignment horizontal="center" vertical="center" readingOrder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readingOrder="1"/>
    </xf>
    <xf numFmtId="0" fontId="4" fillId="6" borderId="6" xfId="0" applyFont="1" applyFill="1" applyBorder="1" applyAlignment="1">
      <alignment horizontal="center" vertical="center" readingOrder="1"/>
    </xf>
    <xf numFmtId="0" fontId="4" fillId="6" borderId="7" xfId="0" applyFont="1" applyFill="1" applyBorder="1" applyAlignment="1">
      <alignment horizontal="center" vertical="center" readingOrder="1"/>
    </xf>
    <xf numFmtId="0" fontId="4" fillId="6" borderId="1" xfId="0" applyFont="1" applyFill="1" applyBorder="1" applyAlignment="1">
      <alignment horizontal="center" vertical="center" readingOrder="1"/>
    </xf>
    <xf numFmtId="178" fontId="4" fillId="6" borderId="1" xfId="0" applyNumberFormat="1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center" vertical="center" wrapText="1" readingOrder="1"/>
    </xf>
    <xf numFmtId="0" fontId="4" fillId="0" borderId="7" xfId="0" applyFont="1" applyFill="1" applyBorder="1" applyAlignment="1">
      <alignment horizontal="center" vertical="center" wrapText="1" readingOrder="1"/>
    </xf>
    <xf numFmtId="0" fontId="1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readingOrder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readingOrder="1"/>
    </xf>
    <xf numFmtId="0" fontId="19" fillId="0" borderId="1" xfId="0" applyFont="1" applyFill="1" applyBorder="1" applyAlignment="1">
      <alignment horizontal="center" vertical="center" readingOrder="1"/>
    </xf>
    <xf numFmtId="178" fontId="19" fillId="0" borderId="1" xfId="0" applyNumberFormat="1" applyFont="1" applyFill="1" applyBorder="1" applyAlignment="1">
      <alignment horizontal="center" vertical="center" readingOrder="1"/>
    </xf>
    <xf numFmtId="0" fontId="19" fillId="0" borderId="2" xfId="0" applyFont="1" applyFill="1" applyBorder="1" applyAlignment="1">
      <alignment horizontal="center" vertical="center" readingOrder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 readingOrder="1"/>
    </xf>
    <xf numFmtId="0" fontId="19" fillId="0" borderId="3" xfId="0" applyFont="1" applyFill="1" applyBorder="1" applyAlignment="1">
      <alignment horizontal="center" vertical="center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178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0" fontId="19" fillId="0" borderId="1" xfId="0" applyNumberFormat="1" applyFont="1" applyFill="1" applyBorder="1" applyAlignment="1">
      <alignment horizontal="center" vertical="center" readingOrder="1"/>
    </xf>
    <xf numFmtId="0" fontId="19" fillId="0" borderId="1" xfId="0" applyNumberFormat="1" applyFont="1" applyFill="1" applyBorder="1" applyAlignment="1">
      <alignment vertical="center"/>
    </xf>
    <xf numFmtId="0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 readingOrder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3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NBBTY-HZH-JX-1803150 盘套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view="pageBreakPreview" zoomScaleNormal="100" topLeftCell="A42" workbookViewId="0">
      <selection activeCell="A58" sqref="$A58:$XFD69"/>
    </sheetView>
  </sheetViews>
  <sheetFormatPr defaultColWidth="9" defaultRowHeight="13.5" outlineLevelCol="7"/>
  <cols>
    <col min="2" max="2" width="28.25" customWidth="1"/>
    <col min="5" max="5" width="10.375" customWidth="1"/>
  </cols>
  <sheetData>
    <row r="1" ht="20.25" spans="1:8">
      <c r="A1" s="120" t="s">
        <v>0</v>
      </c>
      <c r="B1" s="121"/>
      <c r="C1" s="121"/>
      <c r="D1" s="121"/>
      <c r="E1" s="121"/>
      <c r="F1" s="121"/>
      <c r="G1" s="121"/>
      <c r="H1" s="121"/>
    </row>
    <row r="2" ht="14.25" spans="1:8">
      <c r="A2" s="3" t="s">
        <v>1</v>
      </c>
      <c r="B2" s="122"/>
      <c r="C2" s="122"/>
      <c r="D2" s="122"/>
      <c r="E2" s="122"/>
      <c r="F2" s="122"/>
      <c r="G2" s="122"/>
      <c r="H2" s="122"/>
    </row>
    <row r="3" ht="14.25" spans="1:8">
      <c r="A3" s="5" t="s">
        <v>2</v>
      </c>
      <c r="B3" s="123"/>
      <c r="C3" s="123"/>
      <c r="D3" s="123"/>
      <c r="E3" s="123"/>
      <c r="F3" s="123"/>
      <c r="G3" s="123"/>
      <c r="H3" s="123"/>
    </row>
    <row r="4" ht="18.75" spans="1:8">
      <c r="A4" s="122"/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ht="14.25" spans="1:8">
      <c r="A5" s="124" t="s">
        <v>10</v>
      </c>
      <c r="B5" s="37" t="s">
        <v>11</v>
      </c>
      <c r="C5" s="125" t="s">
        <v>12</v>
      </c>
      <c r="D5" s="125" t="s">
        <v>13</v>
      </c>
      <c r="E5" s="126">
        <v>1.52</v>
      </c>
      <c r="F5" s="127">
        <v>11.45</v>
      </c>
      <c r="G5" s="128">
        <v>90</v>
      </c>
      <c r="H5" s="8">
        <f>F5*$G$5</f>
        <v>1030.5</v>
      </c>
    </row>
    <row r="6" ht="14.25" spans="1:8">
      <c r="A6" s="129"/>
      <c r="B6" s="130" t="s">
        <v>14</v>
      </c>
      <c r="C6" s="125" t="s">
        <v>12</v>
      </c>
      <c r="D6" s="125" t="s">
        <v>13</v>
      </c>
      <c r="E6" s="126"/>
      <c r="F6" s="127">
        <v>0.35</v>
      </c>
      <c r="G6" s="131"/>
      <c r="H6" s="8">
        <f t="shared" ref="H6:H16" si="0">F6*$G$5</f>
        <v>31.5</v>
      </c>
    </row>
    <row r="7" ht="14.25" spans="1:8">
      <c r="A7" s="129"/>
      <c r="B7" s="132" t="s">
        <v>15</v>
      </c>
      <c r="C7" s="8" t="s">
        <v>16</v>
      </c>
      <c r="D7" s="8" t="s">
        <v>13</v>
      </c>
      <c r="E7" s="8"/>
      <c r="F7" s="21">
        <v>1.8</v>
      </c>
      <c r="G7" s="8"/>
      <c r="H7" s="8">
        <f t="shared" si="0"/>
        <v>162</v>
      </c>
    </row>
    <row r="8" ht="14.25" spans="1:8">
      <c r="A8" s="129"/>
      <c r="B8" s="133" t="s">
        <v>17</v>
      </c>
      <c r="C8" s="134" t="s">
        <v>18</v>
      </c>
      <c r="D8" s="125" t="s">
        <v>19</v>
      </c>
      <c r="E8" s="134"/>
      <c r="F8" s="135">
        <v>2</v>
      </c>
      <c r="G8" s="131"/>
      <c r="H8" s="8">
        <f t="shared" si="0"/>
        <v>180</v>
      </c>
    </row>
    <row r="9" ht="14.25" spans="1:8">
      <c r="A9" s="129"/>
      <c r="B9" s="133" t="s">
        <v>20</v>
      </c>
      <c r="C9" s="134" t="s">
        <v>18</v>
      </c>
      <c r="D9" s="125" t="s">
        <v>13</v>
      </c>
      <c r="E9" s="134"/>
      <c r="F9" s="135">
        <v>3.6</v>
      </c>
      <c r="G9" s="131"/>
      <c r="H9" s="8">
        <f t="shared" si="0"/>
        <v>324</v>
      </c>
    </row>
    <row r="10" ht="14.25" spans="1:8">
      <c r="A10" s="129"/>
      <c r="B10" s="133" t="s">
        <v>21</v>
      </c>
      <c r="C10" s="134" t="s">
        <v>12</v>
      </c>
      <c r="D10" s="125" t="s">
        <v>13</v>
      </c>
      <c r="E10" s="134"/>
      <c r="F10" s="135">
        <v>2.4</v>
      </c>
      <c r="G10" s="131"/>
      <c r="H10" s="8">
        <f t="shared" si="0"/>
        <v>216</v>
      </c>
    </row>
    <row r="11" ht="14.25" spans="1:8">
      <c r="A11" s="129"/>
      <c r="B11" s="136" t="s">
        <v>22</v>
      </c>
      <c r="C11" s="137" t="s">
        <v>12</v>
      </c>
      <c r="D11" s="137" t="s">
        <v>19</v>
      </c>
      <c r="E11" s="137"/>
      <c r="F11" s="136">
        <v>1</v>
      </c>
      <c r="G11" s="131"/>
      <c r="H11" s="8">
        <f t="shared" si="0"/>
        <v>90</v>
      </c>
    </row>
    <row r="12" ht="14.25" spans="1:8">
      <c r="A12" s="129"/>
      <c r="B12" s="133" t="s">
        <v>23</v>
      </c>
      <c r="C12" s="137" t="s">
        <v>12</v>
      </c>
      <c r="D12" s="138" t="s">
        <v>19</v>
      </c>
      <c r="E12" s="139"/>
      <c r="F12" s="140">
        <v>2</v>
      </c>
      <c r="G12" s="131"/>
      <c r="H12" s="8">
        <f t="shared" si="0"/>
        <v>180</v>
      </c>
    </row>
    <row r="13" ht="28.5" spans="1:8">
      <c r="A13" s="129"/>
      <c r="B13" s="133" t="s">
        <v>24</v>
      </c>
      <c r="C13" s="134" t="s">
        <v>25</v>
      </c>
      <c r="D13" s="125"/>
      <c r="E13" s="134">
        <v>1.5</v>
      </c>
      <c r="F13" s="135">
        <v>0.37</v>
      </c>
      <c r="G13" s="131"/>
      <c r="H13" s="8">
        <f t="shared" si="0"/>
        <v>33.3</v>
      </c>
    </row>
    <row r="14" ht="14.25" spans="1:8">
      <c r="A14" s="129"/>
      <c r="B14" s="136" t="s">
        <v>26</v>
      </c>
      <c r="C14" s="134" t="s">
        <v>12</v>
      </c>
      <c r="D14" s="125"/>
      <c r="E14" s="134"/>
      <c r="F14" s="135">
        <v>3.3</v>
      </c>
      <c r="G14" s="131"/>
      <c r="H14" s="8">
        <f t="shared" si="0"/>
        <v>297</v>
      </c>
    </row>
    <row r="15" ht="28.5" spans="1:8">
      <c r="A15" s="129"/>
      <c r="B15" s="141" t="s">
        <v>27</v>
      </c>
      <c r="C15" s="134" t="s">
        <v>12</v>
      </c>
      <c r="D15" s="125"/>
      <c r="E15" s="134"/>
      <c r="F15" s="135">
        <v>1.85</v>
      </c>
      <c r="G15" s="131"/>
      <c r="H15" s="8">
        <f t="shared" si="0"/>
        <v>166.5</v>
      </c>
    </row>
    <row r="16" ht="28.5" spans="1:8">
      <c r="A16" s="129"/>
      <c r="B16" s="133" t="s">
        <v>28</v>
      </c>
      <c r="C16" s="134" t="s">
        <v>29</v>
      </c>
      <c r="D16" s="125" t="s">
        <v>30</v>
      </c>
      <c r="E16" s="134" t="s">
        <v>31</v>
      </c>
      <c r="F16" s="135">
        <v>1</v>
      </c>
      <c r="G16" s="131"/>
      <c r="H16" s="8">
        <f t="shared" si="0"/>
        <v>90</v>
      </c>
    </row>
    <row r="17" ht="14.25" spans="1:8">
      <c r="A17" s="142"/>
      <c r="B17" s="143" t="s">
        <v>32</v>
      </c>
      <c r="C17" s="144"/>
      <c r="D17" s="144"/>
      <c r="E17" s="144"/>
      <c r="F17" s="144"/>
      <c r="G17" s="131"/>
      <c r="H17" s="8"/>
    </row>
    <row r="18" ht="14.25" spans="1:8">
      <c r="A18" s="26" t="s">
        <v>33</v>
      </c>
      <c r="B18" s="37" t="s">
        <v>11</v>
      </c>
      <c r="C18" s="8" t="s">
        <v>12</v>
      </c>
      <c r="D18" s="8" t="s">
        <v>13</v>
      </c>
      <c r="E18" s="8">
        <v>1.52</v>
      </c>
      <c r="F18" s="21">
        <v>12.8</v>
      </c>
      <c r="G18" s="8">
        <v>120</v>
      </c>
      <c r="H18" s="8">
        <f>F18*$G$18</f>
        <v>1536</v>
      </c>
    </row>
    <row r="19" ht="14.25" spans="1:8">
      <c r="A19" s="28"/>
      <c r="B19" s="132" t="s">
        <v>14</v>
      </c>
      <c r="C19" s="8" t="s">
        <v>12</v>
      </c>
      <c r="D19" s="8" t="s">
        <v>13</v>
      </c>
      <c r="E19" s="8"/>
      <c r="F19" s="21">
        <v>0.35</v>
      </c>
      <c r="G19" s="8"/>
      <c r="H19" s="8">
        <f>F19*$G$18</f>
        <v>42</v>
      </c>
    </row>
    <row r="20" ht="14.25" spans="1:8">
      <c r="A20" s="28"/>
      <c r="B20" s="132" t="s">
        <v>15</v>
      </c>
      <c r="C20" s="8" t="s">
        <v>16</v>
      </c>
      <c r="D20" s="8" t="s">
        <v>13</v>
      </c>
      <c r="E20" s="8"/>
      <c r="F20" s="21">
        <v>1.8</v>
      </c>
      <c r="G20" s="8"/>
      <c r="H20" s="8">
        <f>F20*$G$18</f>
        <v>216</v>
      </c>
    </row>
    <row r="21" ht="14.25" spans="1:8">
      <c r="A21" s="28"/>
      <c r="B21" s="145" t="s">
        <v>17</v>
      </c>
      <c r="C21" s="146" t="s">
        <v>18</v>
      </c>
      <c r="D21" s="8" t="s">
        <v>19</v>
      </c>
      <c r="E21" s="146"/>
      <c r="F21" s="147">
        <v>2</v>
      </c>
      <c r="G21" s="8"/>
      <c r="H21" s="8">
        <f>F21*$G$18</f>
        <v>240</v>
      </c>
    </row>
    <row r="22" ht="14.25" spans="1:8">
      <c r="A22" s="28"/>
      <c r="B22" s="148" t="s">
        <v>20</v>
      </c>
      <c r="C22" s="146" t="s">
        <v>18</v>
      </c>
      <c r="D22" s="8" t="s">
        <v>13</v>
      </c>
      <c r="E22" s="146"/>
      <c r="F22" s="147">
        <v>3.6</v>
      </c>
      <c r="G22" s="8"/>
      <c r="H22" s="8">
        <f>F22*$G$18</f>
        <v>432</v>
      </c>
    </row>
    <row r="23" ht="14.25" spans="1:8">
      <c r="A23" s="28"/>
      <c r="B23" s="148" t="s">
        <v>21</v>
      </c>
      <c r="C23" s="146" t="s">
        <v>12</v>
      </c>
      <c r="D23" s="8" t="s">
        <v>13</v>
      </c>
      <c r="E23" s="146"/>
      <c r="F23" s="147">
        <v>2.4</v>
      </c>
      <c r="G23" s="8"/>
      <c r="H23" s="8">
        <f>F23*$G$18</f>
        <v>288</v>
      </c>
    </row>
    <row r="24" ht="14.25" spans="1:8">
      <c r="A24" s="28"/>
      <c r="B24" s="149" t="s">
        <v>22</v>
      </c>
      <c r="C24" s="150" t="s">
        <v>12</v>
      </c>
      <c r="D24" s="150" t="s">
        <v>19</v>
      </c>
      <c r="E24" s="150"/>
      <c r="F24" s="149">
        <v>1</v>
      </c>
      <c r="G24" s="8"/>
      <c r="H24" s="8">
        <f>F24*$G$18</f>
        <v>120</v>
      </c>
    </row>
    <row r="25" ht="14.25" spans="1:8">
      <c r="A25" s="28"/>
      <c r="B25" s="133" t="s">
        <v>23</v>
      </c>
      <c r="C25" s="137" t="s">
        <v>12</v>
      </c>
      <c r="D25" s="138" t="s">
        <v>19</v>
      </c>
      <c r="E25" s="139"/>
      <c r="F25" s="140">
        <v>2</v>
      </c>
      <c r="G25" s="8"/>
      <c r="H25" s="8">
        <f>F25*$G$18</f>
        <v>240</v>
      </c>
    </row>
    <row r="26" ht="28.5" spans="1:8">
      <c r="A26" s="28"/>
      <c r="B26" s="133" t="s">
        <v>24</v>
      </c>
      <c r="C26" s="134" t="s">
        <v>25</v>
      </c>
      <c r="D26" s="125"/>
      <c r="E26" s="134">
        <v>1.5</v>
      </c>
      <c r="F26" s="135">
        <v>0.37</v>
      </c>
      <c r="G26" s="8"/>
      <c r="H26" s="8">
        <f>F26*$G$18</f>
        <v>44.4</v>
      </c>
    </row>
    <row r="27" ht="14.25" spans="1:8">
      <c r="A27" s="28"/>
      <c r="B27" s="136" t="s">
        <v>26</v>
      </c>
      <c r="C27" s="134" t="s">
        <v>12</v>
      </c>
      <c r="D27" s="125"/>
      <c r="E27" s="134"/>
      <c r="F27" s="135">
        <v>3.3</v>
      </c>
      <c r="G27" s="8"/>
      <c r="H27" s="8">
        <f>F27*$G$18</f>
        <v>396</v>
      </c>
    </row>
    <row r="28" ht="28.5" spans="1:8">
      <c r="A28" s="28"/>
      <c r="B28" s="141" t="s">
        <v>27</v>
      </c>
      <c r="C28" s="134" t="s">
        <v>12</v>
      </c>
      <c r="D28" s="125"/>
      <c r="E28" s="134"/>
      <c r="F28" s="135">
        <v>1.85</v>
      </c>
      <c r="G28" s="8"/>
      <c r="H28" s="8">
        <f>F28*$G$18</f>
        <v>222</v>
      </c>
    </row>
    <row r="29" ht="28.5" spans="1:8">
      <c r="A29" s="28"/>
      <c r="B29" s="145" t="s">
        <v>28</v>
      </c>
      <c r="C29" s="146" t="s">
        <v>29</v>
      </c>
      <c r="D29" s="8" t="s">
        <v>30</v>
      </c>
      <c r="E29" s="146" t="s">
        <v>31</v>
      </c>
      <c r="F29" s="147">
        <v>1</v>
      </c>
      <c r="G29" s="8"/>
      <c r="H29" s="8">
        <f>F29*$G$18</f>
        <v>120</v>
      </c>
    </row>
    <row r="30" ht="14.25" spans="1:8">
      <c r="A30" s="39"/>
      <c r="B30" s="145" t="s">
        <v>32</v>
      </c>
      <c r="C30" s="151"/>
      <c r="D30" s="151"/>
      <c r="E30" s="151"/>
      <c r="F30" s="151"/>
      <c r="G30" s="8"/>
      <c r="H30" s="8">
        <f>F30*$G$18</f>
        <v>0</v>
      </c>
    </row>
    <row r="31" ht="14.25" spans="1:8">
      <c r="A31" s="26" t="s">
        <v>34</v>
      </c>
      <c r="B31" s="37" t="s">
        <v>11</v>
      </c>
      <c r="C31" s="8" t="s">
        <v>12</v>
      </c>
      <c r="D31" s="8" t="s">
        <v>13</v>
      </c>
      <c r="E31" s="8">
        <v>1.52</v>
      </c>
      <c r="F31" s="21">
        <v>15.2</v>
      </c>
      <c r="G31" s="8">
        <v>60</v>
      </c>
      <c r="H31" s="8">
        <f>F31*$G$31</f>
        <v>912</v>
      </c>
    </row>
    <row r="32" ht="14.25" spans="1:8">
      <c r="A32" s="28"/>
      <c r="B32" s="132" t="s">
        <v>14</v>
      </c>
      <c r="C32" s="8" t="s">
        <v>12</v>
      </c>
      <c r="D32" s="8" t="s">
        <v>13</v>
      </c>
      <c r="E32" s="8"/>
      <c r="F32" s="21">
        <v>0.35</v>
      </c>
      <c r="G32" s="8"/>
      <c r="H32" s="8">
        <f t="shared" ref="H32:H56" si="1">F32*$G$31</f>
        <v>21</v>
      </c>
    </row>
    <row r="33" ht="14.25" spans="1:8">
      <c r="A33" s="28"/>
      <c r="B33" s="132" t="s">
        <v>15</v>
      </c>
      <c r="C33" s="8" t="s">
        <v>16</v>
      </c>
      <c r="D33" s="8" t="s">
        <v>13</v>
      </c>
      <c r="E33" s="8"/>
      <c r="F33" s="21">
        <v>1.8</v>
      </c>
      <c r="G33" s="8"/>
      <c r="H33" s="8">
        <f t="shared" si="1"/>
        <v>108</v>
      </c>
    </row>
    <row r="34" ht="14.25" spans="1:8">
      <c r="A34" s="28"/>
      <c r="B34" s="145" t="s">
        <v>17</v>
      </c>
      <c r="C34" s="146" t="s">
        <v>18</v>
      </c>
      <c r="D34" s="8" t="s">
        <v>19</v>
      </c>
      <c r="E34" s="146"/>
      <c r="F34" s="147">
        <v>2</v>
      </c>
      <c r="G34" s="8"/>
      <c r="H34" s="8">
        <f t="shared" si="1"/>
        <v>120</v>
      </c>
    </row>
    <row r="35" ht="14.25" spans="1:8">
      <c r="A35" s="28"/>
      <c r="B35" s="148" t="s">
        <v>20</v>
      </c>
      <c r="C35" s="146" t="s">
        <v>18</v>
      </c>
      <c r="D35" s="8" t="s">
        <v>13</v>
      </c>
      <c r="E35" s="146"/>
      <c r="F35" s="147">
        <v>3.6</v>
      </c>
      <c r="G35" s="8"/>
      <c r="H35" s="8">
        <f t="shared" si="1"/>
        <v>216</v>
      </c>
    </row>
    <row r="36" ht="14.25" spans="1:8">
      <c r="A36" s="28"/>
      <c r="B36" s="148" t="s">
        <v>21</v>
      </c>
      <c r="C36" s="146" t="s">
        <v>12</v>
      </c>
      <c r="D36" s="8" t="s">
        <v>13</v>
      </c>
      <c r="E36" s="146"/>
      <c r="F36" s="147">
        <v>2.4</v>
      </c>
      <c r="G36" s="8"/>
      <c r="H36" s="8">
        <f t="shared" si="1"/>
        <v>144</v>
      </c>
    </row>
    <row r="37" ht="14.25" spans="1:8">
      <c r="A37" s="28"/>
      <c r="B37" s="149" t="s">
        <v>22</v>
      </c>
      <c r="C37" s="149" t="s">
        <v>12</v>
      </c>
      <c r="D37" s="150" t="s">
        <v>19</v>
      </c>
      <c r="E37" s="150"/>
      <c r="F37" s="149">
        <v>1</v>
      </c>
      <c r="G37" s="8"/>
      <c r="H37" s="8">
        <f t="shared" si="1"/>
        <v>60</v>
      </c>
    </row>
    <row r="38" ht="14.25" spans="1:8">
      <c r="A38" s="28"/>
      <c r="B38" s="133" t="s">
        <v>23</v>
      </c>
      <c r="C38" s="136" t="s">
        <v>12</v>
      </c>
      <c r="D38" s="138" t="s">
        <v>19</v>
      </c>
      <c r="E38" s="139"/>
      <c r="F38" s="140">
        <v>2</v>
      </c>
      <c r="G38" s="8"/>
      <c r="H38" s="8">
        <f t="shared" si="1"/>
        <v>120</v>
      </c>
    </row>
    <row r="39" ht="28.5" spans="1:8">
      <c r="A39" s="28"/>
      <c r="B39" s="133" t="s">
        <v>24</v>
      </c>
      <c r="C39" s="134" t="s">
        <v>12</v>
      </c>
      <c r="D39" s="125"/>
      <c r="E39" s="134">
        <v>1.5</v>
      </c>
      <c r="F39" s="135">
        <v>0.37</v>
      </c>
      <c r="G39" s="8"/>
      <c r="H39" s="8">
        <f t="shared" si="1"/>
        <v>22.2</v>
      </c>
    </row>
    <row r="40" ht="14.25" spans="1:8">
      <c r="A40" s="28"/>
      <c r="B40" s="137" t="s">
        <v>35</v>
      </c>
      <c r="C40" s="134" t="s">
        <v>12</v>
      </c>
      <c r="D40" s="125"/>
      <c r="E40" s="134"/>
      <c r="F40" s="135">
        <v>3.3</v>
      </c>
      <c r="G40" s="8"/>
      <c r="H40" s="8">
        <f t="shared" si="1"/>
        <v>198</v>
      </c>
    </row>
    <row r="41" ht="28.5" spans="1:8">
      <c r="A41" s="28"/>
      <c r="B41" s="141" t="s">
        <v>27</v>
      </c>
      <c r="C41" s="134" t="s">
        <v>12</v>
      </c>
      <c r="D41" s="125"/>
      <c r="E41" s="134"/>
      <c r="F41" s="135">
        <v>1.85</v>
      </c>
      <c r="G41" s="8"/>
      <c r="H41" s="8">
        <f t="shared" si="1"/>
        <v>111</v>
      </c>
    </row>
    <row r="42" ht="28.5" spans="1:8">
      <c r="A42" s="28"/>
      <c r="B42" s="145" t="s">
        <v>28</v>
      </c>
      <c r="C42" s="146" t="s">
        <v>29</v>
      </c>
      <c r="D42" s="8" t="s">
        <v>30</v>
      </c>
      <c r="E42" s="146" t="s">
        <v>31</v>
      </c>
      <c r="F42" s="147">
        <v>1</v>
      </c>
      <c r="G42" s="8"/>
      <c r="H42" s="8">
        <f t="shared" si="1"/>
        <v>60</v>
      </c>
    </row>
    <row r="43" ht="14.25" spans="1:8">
      <c r="A43" s="39"/>
      <c r="B43" s="145" t="s">
        <v>32</v>
      </c>
      <c r="C43" s="151"/>
      <c r="D43" s="151"/>
      <c r="E43" s="151"/>
      <c r="F43" s="151"/>
      <c r="G43" s="8"/>
      <c r="H43" s="8">
        <f t="shared" si="1"/>
        <v>0</v>
      </c>
    </row>
    <row r="44" ht="14.25" spans="1:8">
      <c r="A44" s="26" t="s">
        <v>36</v>
      </c>
      <c r="B44" s="37" t="s">
        <v>11</v>
      </c>
      <c r="C44" s="8" t="s">
        <v>12</v>
      </c>
      <c r="D44" s="8" t="s">
        <v>13</v>
      </c>
      <c r="E44" s="8">
        <v>1.52</v>
      </c>
      <c r="F44" s="21">
        <v>21.35</v>
      </c>
      <c r="G44" s="8">
        <v>50</v>
      </c>
      <c r="H44" s="8">
        <f>F44*$G$44</f>
        <v>1067.5</v>
      </c>
    </row>
    <row r="45" ht="14.25" spans="1:8">
      <c r="A45" s="28"/>
      <c r="B45" s="132" t="s">
        <v>14</v>
      </c>
      <c r="C45" s="8" t="s">
        <v>12</v>
      </c>
      <c r="D45" s="8" t="s">
        <v>13</v>
      </c>
      <c r="E45" s="8"/>
      <c r="F45" s="21">
        <v>0.35</v>
      </c>
      <c r="G45" s="8"/>
      <c r="H45" s="8">
        <f t="shared" ref="H45:H56" si="2">F45*$G$44</f>
        <v>17.5</v>
      </c>
    </row>
    <row r="46" ht="14.25" spans="1:8">
      <c r="A46" s="28"/>
      <c r="B46" s="132" t="s">
        <v>15</v>
      </c>
      <c r="C46" s="8" t="s">
        <v>16</v>
      </c>
      <c r="D46" s="8" t="s">
        <v>13</v>
      </c>
      <c r="E46" s="8"/>
      <c r="F46" s="21">
        <v>1.8</v>
      </c>
      <c r="G46" s="8"/>
      <c r="H46" s="8">
        <f t="shared" si="2"/>
        <v>90</v>
      </c>
    </row>
    <row r="47" ht="14.25" spans="1:8">
      <c r="A47" s="28"/>
      <c r="B47" s="145" t="s">
        <v>17</v>
      </c>
      <c r="C47" s="146" t="s">
        <v>18</v>
      </c>
      <c r="D47" s="8" t="s">
        <v>19</v>
      </c>
      <c r="E47" s="146"/>
      <c r="F47" s="147">
        <v>2</v>
      </c>
      <c r="G47" s="8"/>
      <c r="H47" s="8">
        <f t="shared" si="2"/>
        <v>100</v>
      </c>
    </row>
    <row r="48" ht="14.25" spans="1:8">
      <c r="A48" s="28"/>
      <c r="B48" s="148" t="s">
        <v>20</v>
      </c>
      <c r="C48" s="146" t="s">
        <v>18</v>
      </c>
      <c r="D48" s="8" t="s">
        <v>13</v>
      </c>
      <c r="E48" s="146"/>
      <c r="F48" s="147">
        <v>3.6</v>
      </c>
      <c r="G48" s="8"/>
      <c r="H48" s="8">
        <f t="shared" si="2"/>
        <v>180</v>
      </c>
    </row>
    <row r="49" ht="14.25" spans="1:8">
      <c r="A49" s="28"/>
      <c r="B49" s="148" t="s">
        <v>21</v>
      </c>
      <c r="C49" s="146" t="s">
        <v>12</v>
      </c>
      <c r="D49" s="8" t="s">
        <v>13</v>
      </c>
      <c r="E49" s="146"/>
      <c r="F49" s="147">
        <v>3</v>
      </c>
      <c r="G49" s="8"/>
      <c r="H49" s="8">
        <f t="shared" si="2"/>
        <v>150</v>
      </c>
    </row>
    <row r="50" ht="14.25" spans="1:8">
      <c r="A50" s="28"/>
      <c r="B50" s="149" t="s">
        <v>22</v>
      </c>
      <c r="C50" s="149" t="s">
        <v>12</v>
      </c>
      <c r="D50" s="149" t="s">
        <v>19</v>
      </c>
      <c r="E50" s="150"/>
      <c r="F50" s="149">
        <v>1</v>
      </c>
      <c r="G50" s="8"/>
      <c r="H50" s="8">
        <f t="shared" si="2"/>
        <v>50</v>
      </c>
    </row>
    <row r="51" ht="14.25" spans="1:8">
      <c r="A51" s="28"/>
      <c r="B51" s="133" t="s">
        <v>23</v>
      </c>
      <c r="C51" s="136" t="s">
        <v>12</v>
      </c>
      <c r="D51" s="138" t="s">
        <v>19</v>
      </c>
      <c r="E51" s="139"/>
      <c r="F51" s="140">
        <v>2</v>
      </c>
      <c r="G51" s="8"/>
      <c r="H51" s="8">
        <f t="shared" si="2"/>
        <v>100</v>
      </c>
    </row>
    <row r="52" ht="28.5" spans="1:8">
      <c r="A52" s="28"/>
      <c r="B52" s="133" t="s">
        <v>24</v>
      </c>
      <c r="C52" s="134" t="s">
        <v>12</v>
      </c>
      <c r="D52" s="125"/>
      <c r="E52" s="134">
        <v>1.5</v>
      </c>
      <c r="F52" s="135">
        <v>0.37</v>
      </c>
      <c r="G52" s="8"/>
      <c r="H52" s="8">
        <f t="shared" si="2"/>
        <v>18.5</v>
      </c>
    </row>
    <row r="53" ht="14.25" spans="1:8">
      <c r="A53" s="28"/>
      <c r="B53" s="137" t="s">
        <v>35</v>
      </c>
      <c r="C53" s="134" t="s">
        <v>12</v>
      </c>
      <c r="D53" s="125"/>
      <c r="E53" s="134"/>
      <c r="F53" s="135">
        <v>3.3</v>
      </c>
      <c r="G53" s="8"/>
      <c r="H53" s="8">
        <f t="shared" si="2"/>
        <v>165</v>
      </c>
    </row>
    <row r="54" ht="28.5" spans="1:8">
      <c r="A54" s="28"/>
      <c r="B54" s="141" t="s">
        <v>27</v>
      </c>
      <c r="C54" s="134" t="s">
        <v>12</v>
      </c>
      <c r="D54" s="125"/>
      <c r="E54" s="134"/>
      <c r="F54" s="135">
        <v>1.85</v>
      </c>
      <c r="G54" s="8"/>
      <c r="H54" s="8">
        <f t="shared" si="2"/>
        <v>92.5</v>
      </c>
    </row>
    <row r="55" ht="28.5" spans="1:8">
      <c r="A55" s="28"/>
      <c r="B55" s="145" t="s">
        <v>28</v>
      </c>
      <c r="C55" s="146" t="s">
        <v>29</v>
      </c>
      <c r="D55" s="8" t="s">
        <v>30</v>
      </c>
      <c r="E55" s="146" t="s">
        <v>31</v>
      </c>
      <c r="F55" s="147">
        <v>1</v>
      </c>
      <c r="G55" s="8"/>
      <c r="H55" s="8">
        <f t="shared" si="2"/>
        <v>50</v>
      </c>
    </row>
    <row r="56" ht="14.25" spans="1:8">
      <c r="A56" s="39"/>
      <c r="B56" s="145" t="s">
        <v>32</v>
      </c>
      <c r="C56" s="151"/>
      <c r="D56" s="151"/>
      <c r="E56" s="151"/>
      <c r="F56" s="151"/>
      <c r="G56" s="8"/>
      <c r="H56" s="8">
        <f t="shared" si="2"/>
        <v>0</v>
      </c>
    </row>
  </sheetData>
  <mergeCells count="11">
    <mergeCell ref="A1:H1"/>
    <mergeCell ref="A2:H2"/>
    <mergeCell ref="A3:H3"/>
    <mergeCell ref="A5:A17"/>
    <mergeCell ref="A18:A30"/>
    <mergeCell ref="A31:A43"/>
    <mergeCell ref="A44:A56"/>
    <mergeCell ref="G5:G17"/>
    <mergeCell ref="G18:G30"/>
    <mergeCell ref="G31:G43"/>
    <mergeCell ref="G44:G56"/>
  </mergeCells>
  <pageMargins left="0.7" right="0.7" top="0.75" bottom="0.75" header="0.3" footer="0.3"/>
  <pageSetup paperSize="9" scale="9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7"/>
  <sheetViews>
    <sheetView view="pageBreakPreview" zoomScaleNormal="100" topLeftCell="A670" workbookViewId="0">
      <selection activeCell="D688" sqref="D688"/>
    </sheetView>
  </sheetViews>
  <sheetFormatPr defaultColWidth="9" defaultRowHeight="13.5"/>
  <cols>
    <col min="1" max="1" width="10.375" customWidth="1"/>
    <col min="4" max="4" width="29.375" customWidth="1"/>
    <col min="6" max="6" width="12.625" customWidth="1"/>
  </cols>
  <sheetData>
    <row r="1" ht="20.25" spans="1:9">
      <c r="A1" s="57" t="s">
        <v>37</v>
      </c>
      <c r="B1" s="4"/>
      <c r="C1" s="4"/>
      <c r="D1" s="4"/>
      <c r="E1" s="4"/>
      <c r="F1" s="4"/>
      <c r="G1" s="4"/>
      <c r="H1" s="4"/>
      <c r="I1" s="4"/>
    </row>
    <row r="2" ht="14.25" spans="1:9">
      <c r="A2" s="3" t="s">
        <v>38</v>
      </c>
      <c r="B2" s="4"/>
      <c r="C2" s="4"/>
      <c r="D2" s="4"/>
      <c r="E2" s="4"/>
      <c r="F2" s="4"/>
      <c r="G2" s="4"/>
      <c r="H2" s="4"/>
      <c r="I2" s="4"/>
    </row>
    <row r="3" ht="14.25" spans="1:9">
      <c r="A3" s="58" t="s">
        <v>2</v>
      </c>
      <c r="B3" s="59"/>
      <c r="C3" s="59"/>
      <c r="D3" s="59"/>
      <c r="E3" s="59"/>
      <c r="F3" s="59"/>
      <c r="G3" s="59"/>
      <c r="H3" s="59"/>
      <c r="I3" s="60"/>
    </row>
    <row r="4" ht="18.75" spans="1:9">
      <c r="A4" s="4"/>
      <c r="B4" s="61" t="s">
        <v>3</v>
      </c>
      <c r="C4" s="62"/>
      <c r="D4" s="63"/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ht="14.25" spans="1:9">
      <c r="A5" s="9" t="s">
        <v>39</v>
      </c>
      <c r="B5" s="64" t="s">
        <v>40</v>
      </c>
      <c r="C5" s="65"/>
      <c r="D5" s="66"/>
      <c r="E5" s="8" t="s">
        <v>13</v>
      </c>
      <c r="F5" s="8">
        <v>1.55</v>
      </c>
      <c r="G5" s="21">
        <v>1.8</v>
      </c>
      <c r="H5" s="22">
        <v>180</v>
      </c>
      <c r="I5" s="8">
        <f>G5*$H$5</f>
        <v>324</v>
      </c>
    </row>
    <row r="6" ht="14.25" spans="1:9">
      <c r="A6" s="13"/>
      <c r="B6" s="64" t="s">
        <v>41</v>
      </c>
      <c r="C6" s="65"/>
      <c r="D6" s="66"/>
      <c r="E6" s="8" t="s">
        <v>13</v>
      </c>
      <c r="F6" s="8">
        <v>1.58</v>
      </c>
      <c r="G6" s="21">
        <v>1.8</v>
      </c>
      <c r="H6" s="24"/>
      <c r="I6" s="8">
        <f t="shared" ref="I6:I18" si="0">G6*$H$5</f>
        <v>324</v>
      </c>
    </row>
    <row r="7" ht="14.25" spans="1:9">
      <c r="A7" s="13"/>
      <c r="B7" s="64" t="s">
        <v>42</v>
      </c>
      <c r="C7" s="65"/>
      <c r="D7" s="66"/>
      <c r="E7" s="8" t="s">
        <v>13</v>
      </c>
      <c r="F7" s="8">
        <v>1.65</v>
      </c>
      <c r="G7" s="21">
        <v>1.8</v>
      </c>
      <c r="H7" s="24"/>
      <c r="I7" s="8">
        <f t="shared" si="0"/>
        <v>324</v>
      </c>
    </row>
    <row r="8" ht="14.25" spans="1:9">
      <c r="A8" s="13"/>
      <c r="B8" s="64" t="s">
        <v>43</v>
      </c>
      <c r="C8" s="65"/>
      <c r="D8" s="66"/>
      <c r="E8" s="8" t="s">
        <v>13</v>
      </c>
      <c r="F8" s="8">
        <v>1.55</v>
      </c>
      <c r="G8" s="21">
        <v>1.45</v>
      </c>
      <c r="H8" s="24"/>
      <c r="I8" s="8">
        <f t="shared" si="0"/>
        <v>261</v>
      </c>
    </row>
    <row r="9" ht="14.25" spans="1:9">
      <c r="A9" s="13"/>
      <c r="B9" s="64" t="s">
        <v>41</v>
      </c>
      <c r="C9" s="65"/>
      <c r="D9" s="66"/>
      <c r="E9" s="8" t="s">
        <v>13</v>
      </c>
      <c r="F9" s="8">
        <v>1.58</v>
      </c>
      <c r="G9" s="21">
        <v>1.45</v>
      </c>
      <c r="H9" s="24"/>
      <c r="I9" s="8">
        <f t="shared" si="0"/>
        <v>261</v>
      </c>
    </row>
    <row r="10" ht="14.25" spans="1:9">
      <c r="A10" s="13"/>
      <c r="B10" s="64" t="s">
        <v>42</v>
      </c>
      <c r="C10" s="65"/>
      <c r="D10" s="66"/>
      <c r="E10" s="8" t="s">
        <v>13</v>
      </c>
      <c r="F10" s="8">
        <v>1.65</v>
      </c>
      <c r="G10" s="21">
        <v>1.45</v>
      </c>
      <c r="H10" s="24"/>
      <c r="I10" s="8">
        <f t="shared" si="0"/>
        <v>261</v>
      </c>
    </row>
    <row r="11" ht="14.25" spans="1:9">
      <c r="A11" s="13"/>
      <c r="B11" s="64" t="s">
        <v>44</v>
      </c>
      <c r="C11" s="65"/>
      <c r="D11" s="66"/>
      <c r="E11" s="8" t="s">
        <v>13</v>
      </c>
      <c r="F11" s="8">
        <v>1.8</v>
      </c>
      <c r="G11" s="21">
        <v>1.4</v>
      </c>
      <c r="H11" s="24"/>
      <c r="I11" s="8">
        <f t="shared" si="0"/>
        <v>252</v>
      </c>
    </row>
    <row r="12" ht="14.25" spans="1:9">
      <c r="A12" s="13"/>
      <c r="B12" s="64" t="s">
        <v>45</v>
      </c>
      <c r="C12" s="65"/>
      <c r="D12" s="66"/>
      <c r="E12" s="8" t="s">
        <v>13</v>
      </c>
      <c r="F12" s="8">
        <v>1.83</v>
      </c>
      <c r="G12" s="21">
        <v>1.4</v>
      </c>
      <c r="H12" s="24"/>
      <c r="I12" s="8">
        <f t="shared" si="0"/>
        <v>252</v>
      </c>
    </row>
    <row r="13" ht="14.25" spans="1:9">
      <c r="A13" s="13"/>
      <c r="B13" s="64" t="s">
        <v>42</v>
      </c>
      <c r="C13" s="65"/>
      <c r="D13" s="66"/>
      <c r="E13" s="8" t="s">
        <v>13</v>
      </c>
      <c r="F13" s="8">
        <v>1.85</v>
      </c>
      <c r="G13" s="21">
        <v>1.4</v>
      </c>
      <c r="H13" s="24"/>
      <c r="I13" s="8">
        <f t="shared" si="0"/>
        <v>252</v>
      </c>
    </row>
    <row r="14" ht="14.25" spans="1:9">
      <c r="A14" s="13"/>
      <c r="B14" s="64" t="s">
        <v>46</v>
      </c>
      <c r="C14" s="65"/>
      <c r="D14" s="66"/>
      <c r="E14" s="8" t="s">
        <v>13</v>
      </c>
      <c r="F14" s="8">
        <v>1.5</v>
      </c>
      <c r="G14" s="21">
        <v>0.33</v>
      </c>
      <c r="H14" s="24"/>
      <c r="I14" s="8">
        <f t="shared" si="0"/>
        <v>59.4</v>
      </c>
    </row>
    <row r="15" ht="14.25" spans="1:9">
      <c r="A15" s="13"/>
      <c r="B15" s="67" t="s">
        <v>47</v>
      </c>
      <c r="C15" s="65"/>
      <c r="D15" s="66"/>
      <c r="E15" s="8" t="s">
        <v>13</v>
      </c>
      <c r="F15" s="8">
        <v>1.5</v>
      </c>
      <c r="G15" s="68">
        <v>0.51</v>
      </c>
      <c r="H15" s="24"/>
      <c r="I15" s="8">
        <f t="shared" si="0"/>
        <v>91.8</v>
      </c>
    </row>
    <row r="16" ht="14.25" spans="1:9">
      <c r="A16" s="13"/>
      <c r="B16" s="69" t="s">
        <v>48</v>
      </c>
      <c r="C16" s="70"/>
      <c r="D16" s="70"/>
      <c r="E16" s="8" t="s">
        <v>49</v>
      </c>
      <c r="F16" s="8"/>
      <c r="G16" s="21">
        <v>2</v>
      </c>
      <c r="H16" s="24"/>
      <c r="I16" s="8">
        <f t="shared" si="0"/>
        <v>360</v>
      </c>
    </row>
    <row r="17" ht="14.25" spans="1:9">
      <c r="A17" s="13"/>
      <c r="B17" s="64" t="s">
        <v>50</v>
      </c>
      <c r="C17" s="65"/>
      <c r="D17" s="66"/>
      <c r="E17" s="8" t="s">
        <v>13</v>
      </c>
      <c r="F17" s="8" t="s">
        <v>51</v>
      </c>
      <c r="G17" s="21">
        <v>5.55</v>
      </c>
      <c r="H17" s="24"/>
      <c r="I17" s="8">
        <f t="shared" si="0"/>
        <v>999</v>
      </c>
    </row>
    <row r="18" ht="14.25" spans="1:9">
      <c r="A18" s="13"/>
      <c r="B18" s="71" t="s">
        <v>52</v>
      </c>
      <c r="C18" s="65"/>
      <c r="D18" s="66"/>
      <c r="E18" s="22" t="s">
        <v>53</v>
      </c>
      <c r="F18" s="22" t="s">
        <v>54</v>
      </c>
      <c r="G18" s="72">
        <v>1</v>
      </c>
      <c r="H18" s="24"/>
      <c r="I18" s="8">
        <f t="shared" si="0"/>
        <v>180</v>
      </c>
    </row>
    <row r="19" ht="14.25" spans="1:9">
      <c r="A19" s="13"/>
      <c r="B19" s="73" t="s">
        <v>55</v>
      </c>
      <c r="C19" s="74"/>
      <c r="D19" s="75"/>
      <c r="E19" s="22"/>
      <c r="F19" s="22"/>
      <c r="G19" s="72"/>
      <c r="H19" s="24"/>
      <c r="I19" s="22"/>
    </row>
    <row r="20" ht="14.25" spans="1:9">
      <c r="A20" s="20"/>
      <c r="B20" s="73" t="s">
        <v>32</v>
      </c>
      <c r="C20" s="74"/>
      <c r="D20" s="75"/>
      <c r="E20" s="8"/>
      <c r="F20" s="8"/>
      <c r="G20" s="21"/>
      <c r="H20" s="25"/>
      <c r="I20" s="8"/>
    </row>
    <row r="21" ht="14.25" spans="1:9">
      <c r="A21" s="9" t="s">
        <v>56</v>
      </c>
      <c r="B21" s="64" t="s">
        <v>57</v>
      </c>
      <c r="C21" s="65"/>
      <c r="D21" s="66"/>
      <c r="E21" s="8" t="s">
        <v>13</v>
      </c>
      <c r="F21" s="8">
        <v>1.55</v>
      </c>
      <c r="G21" s="21">
        <v>3.16</v>
      </c>
      <c r="H21" s="22">
        <v>100</v>
      </c>
      <c r="I21" s="8">
        <f>G21*$H$21</f>
        <v>316</v>
      </c>
    </row>
    <row r="22" ht="14.25" spans="1:9">
      <c r="A22" s="13"/>
      <c r="B22" s="64" t="s">
        <v>41</v>
      </c>
      <c r="C22" s="65"/>
      <c r="D22" s="66"/>
      <c r="E22" s="8" t="s">
        <v>13</v>
      </c>
      <c r="F22" s="8">
        <v>1.58</v>
      </c>
      <c r="G22" s="21">
        <v>3.16</v>
      </c>
      <c r="H22" s="24"/>
      <c r="I22" s="8">
        <f t="shared" ref="I22:I35" si="1">G22*$H$21</f>
        <v>316</v>
      </c>
    </row>
    <row r="23" ht="14.25" spans="1:9">
      <c r="A23" s="13"/>
      <c r="B23" s="64" t="s">
        <v>42</v>
      </c>
      <c r="C23" s="65"/>
      <c r="D23" s="66"/>
      <c r="E23" s="8" t="s">
        <v>13</v>
      </c>
      <c r="F23" s="8">
        <v>1.7</v>
      </c>
      <c r="G23" s="21">
        <v>3.16</v>
      </c>
      <c r="H23" s="24"/>
      <c r="I23" s="8">
        <f t="shared" si="1"/>
        <v>316</v>
      </c>
    </row>
    <row r="24" ht="14.25" spans="1:9">
      <c r="A24" s="13"/>
      <c r="B24" s="64" t="s">
        <v>58</v>
      </c>
      <c r="C24" s="65"/>
      <c r="D24" s="66"/>
      <c r="E24" s="8" t="s">
        <v>13</v>
      </c>
      <c r="F24" s="8">
        <v>1.8</v>
      </c>
      <c r="G24" s="21">
        <v>1.4</v>
      </c>
      <c r="H24" s="24"/>
      <c r="I24" s="8">
        <f t="shared" si="1"/>
        <v>140</v>
      </c>
    </row>
    <row r="25" ht="14.25" spans="1:9">
      <c r="A25" s="13"/>
      <c r="B25" s="64" t="s">
        <v>45</v>
      </c>
      <c r="C25" s="65"/>
      <c r="D25" s="66"/>
      <c r="E25" s="8" t="s">
        <v>13</v>
      </c>
      <c r="F25" s="8">
        <v>1.83</v>
      </c>
      <c r="G25" s="21">
        <v>1.4</v>
      </c>
      <c r="H25" s="24"/>
      <c r="I25" s="8">
        <f t="shared" si="1"/>
        <v>140</v>
      </c>
    </row>
    <row r="26" ht="14.25" spans="1:9">
      <c r="A26" s="13"/>
      <c r="B26" s="64" t="s">
        <v>42</v>
      </c>
      <c r="C26" s="65"/>
      <c r="D26" s="66"/>
      <c r="E26" s="8" t="s">
        <v>13</v>
      </c>
      <c r="F26" s="8">
        <v>1.9</v>
      </c>
      <c r="G26" s="21">
        <v>1.4</v>
      </c>
      <c r="H26" s="24"/>
      <c r="I26" s="8">
        <f t="shared" si="1"/>
        <v>140</v>
      </c>
    </row>
    <row r="27" ht="14.25" spans="1:9">
      <c r="A27" s="13"/>
      <c r="B27" s="64" t="s">
        <v>59</v>
      </c>
      <c r="C27" s="65"/>
      <c r="D27" s="66"/>
      <c r="E27" s="8" t="s">
        <v>60</v>
      </c>
      <c r="F27" s="8" t="s">
        <v>61</v>
      </c>
      <c r="G27" s="21">
        <v>2</v>
      </c>
      <c r="H27" s="24"/>
      <c r="I27" s="8">
        <f t="shared" si="1"/>
        <v>200</v>
      </c>
    </row>
    <row r="28" ht="14.25" spans="1:9">
      <c r="A28" s="13"/>
      <c r="B28" s="64" t="s">
        <v>62</v>
      </c>
      <c r="C28" s="65"/>
      <c r="D28" s="66"/>
      <c r="E28" s="8" t="s">
        <v>60</v>
      </c>
      <c r="F28" s="8" t="s">
        <v>63</v>
      </c>
      <c r="G28" s="21">
        <v>2</v>
      </c>
      <c r="H28" s="24"/>
      <c r="I28" s="8">
        <f t="shared" si="1"/>
        <v>200</v>
      </c>
    </row>
    <row r="29" ht="14.25" spans="1:9">
      <c r="A29" s="13"/>
      <c r="B29" s="64" t="s">
        <v>64</v>
      </c>
      <c r="C29" s="65"/>
      <c r="D29" s="66"/>
      <c r="E29" s="8" t="s">
        <v>60</v>
      </c>
      <c r="F29" s="8" t="s">
        <v>65</v>
      </c>
      <c r="G29" s="21">
        <v>2</v>
      </c>
      <c r="H29" s="24"/>
      <c r="I29" s="8">
        <f t="shared" si="1"/>
        <v>200</v>
      </c>
    </row>
    <row r="30" ht="14.25" spans="1:9">
      <c r="A30" s="13"/>
      <c r="B30" s="64" t="s">
        <v>66</v>
      </c>
      <c r="C30" s="65"/>
      <c r="D30" s="66"/>
      <c r="E30" s="8" t="s">
        <v>49</v>
      </c>
      <c r="F30" s="8" t="s">
        <v>67</v>
      </c>
      <c r="G30" s="21">
        <v>2</v>
      </c>
      <c r="H30" s="24"/>
      <c r="I30" s="8">
        <f t="shared" si="1"/>
        <v>200</v>
      </c>
    </row>
    <row r="31" ht="14.25" spans="1:9">
      <c r="A31" s="13"/>
      <c r="B31" s="64" t="s">
        <v>68</v>
      </c>
      <c r="C31" s="65"/>
      <c r="D31" s="66"/>
      <c r="E31" s="8" t="s">
        <v>13</v>
      </c>
      <c r="F31" s="8">
        <v>1.5</v>
      </c>
      <c r="G31" s="21">
        <v>0.29</v>
      </c>
      <c r="H31" s="24"/>
      <c r="I31" s="8">
        <f t="shared" si="1"/>
        <v>29</v>
      </c>
    </row>
    <row r="32" ht="14.25" spans="1:9">
      <c r="A32" s="13"/>
      <c r="B32" s="64" t="s">
        <v>46</v>
      </c>
      <c r="C32" s="65"/>
      <c r="D32" s="66"/>
      <c r="E32" s="8" t="s">
        <v>13</v>
      </c>
      <c r="F32" s="8">
        <v>1.5</v>
      </c>
      <c r="G32" s="21">
        <v>0.42</v>
      </c>
      <c r="H32" s="24"/>
      <c r="I32" s="8">
        <f t="shared" si="1"/>
        <v>42</v>
      </c>
    </row>
    <row r="33" ht="14.25" spans="1:9">
      <c r="A33" s="13"/>
      <c r="B33" s="64" t="s">
        <v>48</v>
      </c>
      <c r="C33" s="65"/>
      <c r="D33" s="66"/>
      <c r="E33" s="8" t="s">
        <v>49</v>
      </c>
      <c r="F33" s="8" t="s">
        <v>69</v>
      </c>
      <c r="G33" s="21">
        <v>2</v>
      </c>
      <c r="H33" s="24"/>
      <c r="I33" s="8">
        <f t="shared" si="1"/>
        <v>200</v>
      </c>
    </row>
    <row r="34" ht="14.25" spans="1:9">
      <c r="A34" s="13"/>
      <c r="B34" s="64" t="s">
        <v>70</v>
      </c>
      <c r="C34" s="65"/>
      <c r="D34" s="66"/>
      <c r="E34" s="8" t="s">
        <v>13</v>
      </c>
      <c r="F34" s="8" t="s">
        <v>51</v>
      </c>
      <c r="G34" s="21">
        <v>7.3</v>
      </c>
      <c r="H34" s="24"/>
      <c r="I34" s="8">
        <f t="shared" si="1"/>
        <v>730</v>
      </c>
    </row>
    <row r="35" ht="14.25" spans="1:9">
      <c r="A35" s="13"/>
      <c r="B35" s="64" t="s">
        <v>71</v>
      </c>
      <c r="C35" s="65"/>
      <c r="D35" s="66"/>
      <c r="E35" s="22" t="s">
        <v>53</v>
      </c>
      <c r="F35" s="22" t="s">
        <v>54</v>
      </c>
      <c r="G35" s="72">
        <v>1</v>
      </c>
      <c r="H35" s="24"/>
      <c r="I35" s="8">
        <f t="shared" si="1"/>
        <v>100</v>
      </c>
    </row>
    <row r="36" ht="14.25" spans="1:9">
      <c r="A36" s="13"/>
      <c r="B36" s="64" t="s">
        <v>55</v>
      </c>
      <c r="C36" s="65"/>
      <c r="D36" s="66"/>
      <c r="E36" s="22"/>
      <c r="F36" s="22"/>
      <c r="G36" s="72"/>
      <c r="H36" s="24"/>
      <c r="I36" s="22"/>
    </row>
    <row r="37" ht="14.25" spans="1:9">
      <c r="A37" s="20"/>
      <c r="B37" s="64" t="s">
        <v>32</v>
      </c>
      <c r="C37" s="65"/>
      <c r="D37" s="66"/>
      <c r="E37" s="8"/>
      <c r="F37" s="8"/>
      <c r="G37" s="21"/>
      <c r="H37" s="25"/>
      <c r="I37" s="8"/>
    </row>
    <row r="38" ht="14.25" spans="1:9">
      <c r="A38" s="9" t="s">
        <v>72</v>
      </c>
      <c r="B38" s="64" t="s">
        <v>73</v>
      </c>
      <c r="C38" s="65"/>
      <c r="D38" s="66"/>
      <c r="E38" s="8" t="s">
        <v>13</v>
      </c>
      <c r="F38" s="8">
        <v>1.55</v>
      </c>
      <c r="G38" s="21">
        <v>3.16</v>
      </c>
      <c r="H38" s="22">
        <v>140</v>
      </c>
      <c r="I38" s="8">
        <f>G38*$H$38</f>
        <v>442.4</v>
      </c>
    </row>
    <row r="39" ht="14.25" spans="1:9">
      <c r="A39" s="13"/>
      <c r="B39" s="64" t="s">
        <v>41</v>
      </c>
      <c r="C39" s="65"/>
      <c r="D39" s="66"/>
      <c r="E39" s="8" t="s">
        <v>13</v>
      </c>
      <c r="F39" s="8">
        <v>1.58</v>
      </c>
      <c r="G39" s="21">
        <v>3.16</v>
      </c>
      <c r="H39" s="24"/>
      <c r="I39" s="8">
        <f t="shared" ref="I39:I52" si="2">G39*$H$38</f>
        <v>442.4</v>
      </c>
    </row>
    <row r="40" ht="14.25" spans="1:9">
      <c r="A40" s="13"/>
      <c r="B40" s="64" t="s">
        <v>42</v>
      </c>
      <c r="C40" s="65"/>
      <c r="D40" s="66"/>
      <c r="E40" s="8" t="s">
        <v>13</v>
      </c>
      <c r="F40" s="8">
        <v>1.7</v>
      </c>
      <c r="G40" s="21">
        <v>3.16</v>
      </c>
      <c r="H40" s="24"/>
      <c r="I40" s="8">
        <f t="shared" si="2"/>
        <v>442.4</v>
      </c>
    </row>
    <row r="41" ht="14.25" spans="1:9">
      <c r="A41" s="13"/>
      <c r="B41" s="64" t="s">
        <v>44</v>
      </c>
      <c r="C41" s="65"/>
      <c r="D41" s="66"/>
      <c r="E41" s="8" t="s">
        <v>13</v>
      </c>
      <c r="F41" s="8">
        <v>1.8</v>
      </c>
      <c r="G41" s="21">
        <v>1.4</v>
      </c>
      <c r="H41" s="24"/>
      <c r="I41" s="8">
        <f t="shared" si="2"/>
        <v>196</v>
      </c>
    </row>
    <row r="42" ht="14.25" spans="1:9">
      <c r="A42" s="13"/>
      <c r="B42" s="64" t="s">
        <v>45</v>
      </c>
      <c r="C42" s="65"/>
      <c r="D42" s="66"/>
      <c r="E42" s="8" t="s">
        <v>13</v>
      </c>
      <c r="F42" s="8">
        <v>1.83</v>
      </c>
      <c r="G42" s="21">
        <v>1.4</v>
      </c>
      <c r="H42" s="24"/>
      <c r="I42" s="8">
        <f t="shared" si="2"/>
        <v>196</v>
      </c>
    </row>
    <row r="43" ht="14.25" spans="1:9">
      <c r="A43" s="13"/>
      <c r="B43" s="64" t="s">
        <v>42</v>
      </c>
      <c r="C43" s="65"/>
      <c r="D43" s="66"/>
      <c r="E43" s="8" t="s">
        <v>13</v>
      </c>
      <c r="F43" s="8">
        <v>1.9</v>
      </c>
      <c r="G43" s="21">
        <v>1.4</v>
      </c>
      <c r="H43" s="24"/>
      <c r="I43" s="8">
        <f t="shared" si="2"/>
        <v>196</v>
      </c>
    </row>
    <row r="44" ht="14.25" spans="1:9">
      <c r="A44" s="13"/>
      <c r="B44" s="64" t="s">
        <v>59</v>
      </c>
      <c r="C44" s="65"/>
      <c r="D44" s="66"/>
      <c r="E44" s="8" t="s">
        <v>60</v>
      </c>
      <c r="F44" s="8" t="s">
        <v>61</v>
      </c>
      <c r="G44" s="21">
        <v>2</v>
      </c>
      <c r="H44" s="24"/>
      <c r="I44" s="8">
        <f t="shared" si="2"/>
        <v>280</v>
      </c>
    </row>
    <row r="45" ht="14.25" spans="1:9">
      <c r="A45" s="13"/>
      <c r="B45" s="64" t="s">
        <v>62</v>
      </c>
      <c r="C45" s="65"/>
      <c r="D45" s="66"/>
      <c r="E45" s="8" t="s">
        <v>60</v>
      </c>
      <c r="F45" s="8" t="s">
        <v>63</v>
      </c>
      <c r="G45" s="21">
        <v>2</v>
      </c>
      <c r="H45" s="24"/>
      <c r="I45" s="8">
        <f t="shared" si="2"/>
        <v>280</v>
      </c>
    </row>
    <row r="46" ht="14.25" spans="1:9">
      <c r="A46" s="13"/>
      <c r="B46" s="64" t="s">
        <v>64</v>
      </c>
      <c r="C46" s="65"/>
      <c r="D46" s="66"/>
      <c r="E46" s="8" t="s">
        <v>60</v>
      </c>
      <c r="F46" s="8" t="s">
        <v>65</v>
      </c>
      <c r="G46" s="21">
        <v>2</v>
      </c>
      <c r="H46" s="24"/>
      <c r="I46" s="8">
        <f t="shared" si="2"/>
        <v>280</v>
      </c>
    </row>
    <row r="47" ht="14.25" spans="1:9">
      <c r="A47" s="13"/>
      <c r="B47" s="64" t="s">
        <v>66</v>
      </c>
      <c r="C47" s="65"/>
      <c r="D47" s="66"/>
      <c r="E47" s="8" t="s">
        <v>49</v>
      </c>
      <c r="F47" s="8" t="s">
        <v>67</v>
      </c>
      <c r="G47" s="21">
        <v>2</v>
      </c>
      <c r="H47" s="24"/>
      <c r="I47" s="8">
        <f t="shared" si="2"/>
        <v>280</v>
      </c>
    </row>
    <row r="48" ht="14.25" spans="1:9">
      <c r="A48" s="13"/>
      <c r="B48" s="64" t="s">
        <v>74</v>
      </c>
      <c r="C48" s="65"/>
      <c r="D48" s="66"/>
      <c r="E48" s="8" t="s">
        <v>13</v>
      </c>
      <c r="F48" s="8">
        <v>1.5</v>
      </c>
      <c r="G48" s="21">
        <v>0.29</v>
      </c>
      <c r="H48" s="24"/>
      <c r="I48" s="8">
        <f t="shared" si="2"/>
        <v>40.6</v>
      </c>
    </row>
    <row r="49" ht="14.25" spans="1:9">
      <c r="A49" s="13"/>
      <c r="B49" s="64" t="s">
        <v>46</v>
      </c>
      <c r="C49" s="65"/>
      <c r="D49" s="66"/>
      <c r="E49" s="8" t="s">
        <v>13</v>
      </c>
      <c r="F49" s="8">
        <v>1.5</v>
      </c>
      <c r="G49" s="21">
        <v>0.42</v>
      </c>
      <c r="H49" s="24"/>
      <c r="I49" s="8">
        <f t="shared" si="2"/>
        <v>58.8</v>
      </c>
    </row>
    <row r="50" ht="14.25" spans="1:9">
      <c r="A50" s="13"/>
      <c r="B50" s="64" t="s">
        <v>48</v>
      </c>
      <c r="C50" s="65"/>
      <c r="D50" s="66"/>
      <c r="E50" s="8" t="s">
        <v>49</v>
      </c>
      <c r="F50" s="8" t="s">
        <v>69</v>
      </c>
      <c r="G50" s="21">
        <v>2</v>
      </c>
      <c r="H50" s="24"/>
      <c r="I50" s="8">
        <f t="shared" si="2"/>
        <v>280</v>
      </c>
    </row>
    <row r="51" ht="14.25" spans="1:9">
      <c r="A51" s="13"/>
      <c r="B51" s="64" t="s">
        <v>50</v>
      </c>
      <c r="C51" s="65"/>
      <c r="D51" s="66"/>
      <c r="E51" s="8" t="s">
        <v>13</v>
      </c>
      <c r="F51" s="8" t="s">
        <v>51</v>
      </c>
      <c r="G51" s="21">
        <v>7.3</v>
      </c>
      <c r="H51" s="24"/>
      <c r="I51" s="8">
        <f t="shared" si="2"/>
        <v>1022</v>
      </c>
    </row>
    <row r="52" ht="14.25" spans="1:9">
      <c r="A52" s="13"/>
      <c r="B52" s="64" t="s">
        <v>71</v>
      </c>
      <c r="C52" s="65"/>
      <c r="D52" s="66"/>
      <c r="E52" s="22" t="s">
        <v>53</v>
      </c>
      <c r="F52" s="22" t="s">
        <v>54</v>
      </c>
      <c r="G52" s="72">
        <v>1</v>
      </c>
      <c r="H52" s="24"/>
      <c r="I52" s="8">
        <f t="shared" si="2"/>
        <v>140</v>
      </c>
    </row>
    <row r="53" ht="14.25" spans="1:9">
      <c r="A53" s="13"/>
      <c r="B53" s="64" t="s">
        <v>55</v>
      </c>
      <c r="C53" s="65"/>
      <c r="D53" s="66"/>
      <c r="E53" s="22"/>
      <c r="F53" s="22"/>
      <c r="G53" s="72"/>
      <c r="H53" s="24"/>
      <c r="I53" s="22"/>
    </row>
    <row r="54" ht="14.25" spans="1:9">
      <c r="A54" s="20"/>
      <c r="B54" s="64" t="s">
        <v>32</v>
      </c>
      <c r="C54" s="65"/>
      <c r="D54" s="66"/>
      <c r="E54" s="8"/>
      <c r="F54" s="8"/>
      <c r="G54" s="21"/>
      <c r="H54" s="25"/>
      <c r="I54" s="8"/>
    </row>
    <row r="55" ht="14.25" spans="1:9">
      <c r="A55" s="9" t="s">
        <v>75</v>
      </c>
      <c r="B55" s="64" t="s">
        <v>76</v>
      </c>
      <c r="C55" s="65"/>
      <c r="D55" s="66"/>
      <c r="E55" s="8" t="s">
        <v>13</v>
      </c>
      <c r="F55" s="76">
        <v>1.62</v>
      </c>
      <c r="G55" s="21">
        <v>1.88</v>
      </c>
      <c r="H55" s="22">
        <v>220</v>
      </c>
      <c r="I55" s="8">
        <f>G55*$H$55</f>
        <v>413.6</v>
      </c>
    </row>
    <row r="56" ht="14.25" spans="1:9">
      <c r="A56" s="13"/>
      <c r="B56" s="64" t="s">
        <v>41</v>
      </c>
      <c r="C56" s="65"/>
      <c r="D56" s="66"/>
      <c r="E56" s="8" t="s">
        <v>13</v>
      </c>
      <c r="F56" s="8">
        <v>1.65</v>
      </c>
      <c r="G56" s="21">
        <v>1.88</v>
      </c>
      <c r="H56" s="24"/>
      <c r="I56" s="8">
        <f t="shared" ref="I56:I70" si="3">G56*$H$55</f>
        <v>413.6</v>
      </c>
    </row>
    <row r="57" ht="14.25" spans="1:9">
      <c r="A57" s="13"/>
      <c r="B57" s="64" t="s">
        <v>42</v>
      </c>
      <c r="C57" s="65"/>
      <c r="D57" s="66"/>
      <c r="E57" s="8" t="s">
        <v>13</v>
      </c>
      <c r="F57" s="8">
        <v>1.7</v>
      </c>
      <c r="G57" s="21">
        <v>1.88</v>
      </c>
      <c r="H57" s="24"/>
      <c r="I57" s="8">
        <f t="shared" si="3"/>
        <v>413.6</v>
      </c>
    </row>
    <row r="58" ht="14.25" spans="1:9">
      <c r="A58" s="13"/>
      <c r="B58" s="64" t="s">
        <v>77</v>
      </c>
      <c r="C58" s="65"/>
      <c r="D58" s="66"/>
      <c r="E58" s="8" t="s">
        <v>13</v>
      </c>
      <c r="F58" s="8">
        <v>1.55</v>
      </c>
      <c r="G58" s="21">
        <v>1.08</v>
      </c>
      <c r="H58" s="24"/>
      <c r="I58" s="8">
        <f t="shared" si="3"/>
        <v>237.6</v>
      </c>
    </row>
    <row r="59" ht="14.25" spans="1:9">
      <c r="A59" s="13"/>
      <c r="B59" s="64" t="s">
        <v>41</v>
      </c>
      <c r="C59" s="65"/>
      <c r="D59" s="66"/>
      <c r="E59" s="8" t="s">
        <v>13</v>
      </c>
      <c r="F59" s="8">
        <v>1.58</v>
      </c>
      <c r="G59" s="21">
        <v>1.08</v>
      </c>
      <c r="H59" s="24"/>
      <c r="I59" s="8">
        <f t="shared" si="3"/>
        <v>237.6</v>
      </c>
    </row>
    <row r="60" ht="14.25" spans="1:9">
      <c r="A60" s="13"/>
      <c r="B60" s="64" t="s">
        <v>42</v>
      </c>
      <c r="C60" s="65"/>
      <c r="D60" s="66"/>
      <c r="E60" s="8" t="s">
        <v>13</v>
      </c>
      <c r="F60" s="8">
        <v>1.6</v>
      </c>
      <c r="G60" s="21">
        <v>1.08</v>
      </c>
      <c r="H60" s="24"/>
      <c r="I60" s="8">
        <f t="shared" si="3"/>
        <v>237.6</v>
      </c>
    </row>
    <row r="61" ht="14.25" spans="1:9">
      <c r="A61" s="13"/>
      <c r="B61" s="64" t="s">
        <v>44</v>
      </c>
      <c r="C61" s="65"/>
      <c r="D61" s="66"/>
      <c r="E61" s="8" t="s">
        <v>13</v>
      </c>
      <c r="F61" s="8">
        <v>1.8</v>
      </c>
      <c r="G61" s="21">
        <v>1.4</v>
      </c>
      <c r="H61" s="24"/>
      <c r="I61" s="8">
        <f t="shared" si="3"/>
        <v>308</v>
      </c>
    </row>
    <row r="62" ht="14.25" spans="1:9">
      <c r="A62" s="13"/>
      <c r="B62" s="64" t="s">
        <v>78</v>
      </c>
      <c r="C62" s="65"/>
      <c r="D62" s="66"/>
      <c r="E62" s="8" t="s">
        <v>13</v>
      </c>
      <c r="F62" s="8">
        <v>1.83</v>
      </c>
      <c r="G62" s="21">
        <v>1.4</v>
      </c>
      <c r="H62" s="24"/>
      <c r="I62" s="8">
        <f t="shared" si="3"/>
        <v>308</v>
      </c>
    </row>
    <row r="63" ht="14.25" spans="1:9">
      <c r="A63" s="13"/>
      <c r="B63" s="64" t="s">
        <v>42</v>
      </c>
      <c r="C63" s="65"/>
      <c r="D63" s="66"/>
      <c r="E63" s="8" t="s">
        <v>13</v>
      </c>
      <c r="F63" s="8">
        <v>1.9</v>
      </c>
      <c r="G63" s="21">
        <v>1.4</v>
      </c>
      <c r="H63" s="24"/>
      <c r="I63" s="8">
        <f t="shared" si="3"/>
        <v>308</v>
      </c>
    </row>
    <row r="64" ht="14.25" spans="1:9">
      <c r="A64" s="13"/>
      <c r="B64" s="64" t="s">
        <v>79</v>
      </c>
      <c r="C64" s="65"/>
      <c r="D64" s="66"/>
      <c r="E64" s="8" t="s">
        <v>13</v>
      </c>
      <c r="F64" s="8" t="s">
        <v>51</v>
      </c>
      <c r="G64" s="21">
        <v>4.6</v>
      </c>
      <c r="H64" s="24"/>
      <c r="I64" s="8">
        <f t="shared" si="3"/>
        <v>1012</v>
      </c>
    </row>
    <row r="65" ht="14.25" spans="1:9">
      <c r="A65" s="13"/>
      <c r="B65" s="64" t="s">
        <v>46</v>
      </c>
      <c r="C65" s="65"/>
      <c r="D65" s="66"/>
      <c r="E65" s="8" t="s">
        <v>13</v>
      </c>
      <c r="F65" s="8">
        <v>1.5</v>
      </c>
      <c r="G65" s="21">
        <v>0.13</v>
      </c>
      <c r="H65" s="24"/>
      <c r="I65" s="8">
        <f t="shared" si="3"/>
        <v>28.6</v>
      </c>
    </row>
    <row r="66" ht="14.25" spans="1:9">
      <c r="A66" s="13"/>
      <c r="B66" s="64" t="s">
        <v>80</v>
      </c>
      <c r="C66" s="65"/>
      <c r="D66" s="66"/>
      <c r="E66" s="8" t="s">
        <v>13</v>
      </c>
      <c r="F66" s="8" t="s">
        <v>81</v>
      </c>
      <c r="G66" s="21">
        <v>1.4</v>
      </c>
      <c r="H66" s="24"/>
      <c r="I66" s="8">
        <f t="shared" si="3"/>
        <v>308</v>
      </c>
    </row>
    <row r="67" ht="14.25" spans="1:9">
      <c r="A67" s="13"/>
      <c r="B67" s="64" t="s">
        <v>48</v>
      </c>
      <c r="C67" s="65"/>
      <c r="D67" s="66"/>
      <c r="E67" s="8" t="s">
        <v>49</v>
      </c>
      <c r="F67" s="8" t="s">
        <v>69</v>
      </c>
      <c r="G67" s="21">
        <v>2</v>
      </c>
      <c r="H67" s="24"/>
      <c r="I67" s="8">
        <f t="shared" si="3"/>
        <v>440</v>
      </c>
    </row>
    <row r="68" ht="14.25" spans="1:9">
      <c r="A68" s="13"/>
      <c r="B68" s="64" t="s">
        <v>82</v>
      </c>
      <c r="C68" s="65"/>
      <c r="D68" s="66"/>
      <c r="E68" s="22" t="s">
        <v>49</v>
      </c>
      <c r="F68" s="22" t="s">
        <v>83</v>
      </c>
      <c r="G68" s="21">
        <v>2</v>
      </c>
      <c r="H68" s="24"/>
      <c r="I68" s="8">
        <f t="shared" si="3"/>
        <v>440</v>
      </c>
    </row>
    <row r="69" ht="14.25" spans="1:9">
      <c r="A69" s="13"/>
      <c r="B69" s="64" t="s">
        <v>84</v>
      </c>
      <c r="C69" s="65"/>
      <c r="D69" s="66"/>
      <c r="E69" s="8" t="s">
        <v>13</v>
      </c>
      <c r="F69" s="8">
        <v>1.5</v>
      </c>
      <c r="G69" s="77">
        <v>0.14</v>
      </c>
      <c r="H69" s="24"/>
      <c r="I69" s="8">
        <f t="shared" si="3"/>
        <v>30.8</v>
      </c>
    </row>
    <row r="70" ht="14.25" spans="1:9">
      <c r="A70" s="13"/>
      <c r="B70" s="64" t="s">
        <v>52</v>
      </c>
      <c r="C70" s="65"/>
      <c r="D70" s="66"/>
      <c r="E70" s="22" t="s">
        <v>53</v>
      </c>
      <c r="F70" s="22" t="s">
        <v>54</v>
      </c>
      <c r="G70" s="72">
        <v>1</v>
      </c>
      <c r="H70" s="24"/>
      <c r="I70" s="8">
        <f t="shared" si="3"/>
        <v>220</v>
      </c>
    </row>
    <row r="71" ht="14.25" spans="1:9">
      <c r="A71" s="13"/>
      <c r="B71" s="64" t="s">
        <v>55</v>
      </c>
      <c r="C71" s="65"/>
      <c r="D71" s="66"/>
      <c r="E71" s="22"/>
      <c r="F71" s="22"/>
      <c r="G71" s="72"/>
      <c r="H71" s="24"/>
      <c r="I71" s="22"/>
    </row>
    <row r="72" ht="14.25" spans="1:9">
      <c r="A72" s="20"/>
      <c r="B72" s="64" t="s">
        <v>32</v>
      </c>
      <c r="C72" s="65"/>
      <c r="D72" s="66"/>
      <c r="E72" s="8"/>
      <c r="F72" s="8"/>
      <c r="G72" s="21"/>
      <c r="H72" s="25"/>
      <c r="I72" s="8"/>
    </row>
    <row r="73" ht="14.25" spans="1:9">
      <c r="A73" s="9" t="s">
        <v>85</v>
      </c>
      <c r="B73" s="64" t="s">
        <v>76</v>
      </c>
      <c r="C73" s="65"/>
      <c r="D73" s="66"/>
      <c r="E73" s="8" t="s">
        <v>13</v>
      </c>
      <c r="F73" s="76">
        <v>1.62</v>
      </c>
      <c r="G73" s="21">
        <v>1.88</v>
      </c>
      <c r="H73" s="22">
        <v>220</v>
      </c>
      <c r="I73" s="8">
        <f>G73*$H$73</f>
        <v>413.6</v>
      </c>
    </row>
    <row r="74" ht="14.25" spans="1:9">
      <c r="A74" s="13"/>
      <c r="B74" s="64" t="s">
        <v>41</v>
      </c>
      <c r="C74" s="65"/>
      <c r="D74" s="66"/>
      <c r="E74" s="8" t="s">
        <v>13</v>
      </c>
      <c r="F74" s="8">
        <v>1.65</v>
      </c>
      <c r="G74" s="21">
        <v>1.88</v>
      </c>
      <c r="H74" s="24"/>
      <c r="I74" s="8">
        <f t="shared" ref="I74:I88" si="4">G74*$H$73</f>
        <v>413.6</v>
      </c>
    </row>
    <row r="75" ht="14.25" spans="1:9">
      <c r="A75" s="13"/>
      <c r="B75" s="64" t="s">
        <v>42</v>
      </c>
      <c r="C75" s="65"/>
      <c r="D75" s="66"/>
      <c r="E75" s="8" t="s">
        <v>13</v>
      </c>
      <c r="F75" s="8">
        <v>1.7</v>
      </c>
      <c r="G75" s="21">
        <v>1.88</v>
      </c>
      <c r="H75" s="24"/>
      <c r="I75" s="8">
        <f t="shared" si="4"/>
        <v>413.6</v>
      </c>
    </row>
    <row r="76" ht="14.25" spans="1:9">
      <c r="A76" s="13"/>
      <c r="B76" s="64" t="s">
        <v>86</v>
      </c>
      <c r="C76" s="65"/>
      <c r="D76" s="66"/>
      <c r="E76" s="8" t="s">
        <v>13</v>
      </c>
      <c r="F76" s="8">
        <v>1.55</v>
      </c>
      <c r="G76" s="21">
        <v>1.08</v>
      </c>
      <c r="H76" s="24"/>
      <c r="I76" s="8">
        <f t="shared" si="4"/>
        <v>237.6</v>
      </c>
    </row>
    <row r="77" ht="14.25" spans="1:9">
      <c r="A77" s="13"/>
      <c r="B77" s="64" t="s">
        <v>41</v>
      </c>
      <c r="C77" s="65"/>
      <c r="D77" s="66"/>
      <c r="E77" s="8" t="s">
        <v>13</v>
      </c>
      <c r="F77" s="8">
        <v>1.58</v>
      </c>
      <c r="G77" s="21">
        <v>1.08</v>
      </c>
      <c r="H77" s="24"/>
      <c r="I77" s="8">
        <f t="shared" si="4"/>
        <v>237.6</v>
      </c>
    </row>
    <row r="78" ht="14.25" spans="1:9">
      <c r="A78" s="13"/>
      <c r="B78" s="64" t="s">
        <v>42</v>
      </c>
      <c r="C78" s="65"/>
      <c r="D78" s="66"/>
      <c r="E78" s="8" t="s">
        <v>13</v>
      </c>
      <c r="F78" s="8">
        <v>1.6</v>
      </c>
      <c r="G78" s="21">
        <v>1.08</v>
      </c>
      <c r="H78" s="24"/>
      <c r="I78" s="8">
        <f t="shared" si="4"/>
        <v>237.6</v>
      </c>
    </row>
    <row r="79" ht="14.25" spans="1:9">
      <c r="A79" s="13"/>
      <c r="B79" s="64" t="s">
        <v>44</v>
      </c>
      <c r="C79" s="65"/>
      <c r="D79" s="66"/>
      <c r="E79" s="8" t="s">
        <v>13</v>
      </c>
      <c r="F79" s="8">
        <v>1.8</v>
      </c>
      <c r="G79" s="21">
        <v>1.4</v>
      </c>
      <c r="H79" s="24"/>
      <c r="I79" s="8">
        <f t="shared" si="4"/>
        <v>308</v>
      </c>
    </row>
    <row r="80" ht="14.25" spans="1:9">
      <c r="A80" s="13"/>
      <c r="B80" s="64" t="s">
        <v>78</v>
      </c>
      <c r="C80" s="65"/>
      <c r="D80" s="66"/>
      <c r="E80" s="8" t="s">
        <v>13</v>
      </c>
      <c r="F80" s="8">
        <v>1.83</v>
      </c>
      <c r="G80" s="21">
        <v>1.4</v>
      </c>
      <c r="H80" s="24"/>
      <c r="I80" s="8">
        <f t="shared" si="4"/>
        <v>308</v>
      </c>
    </row>
    <row r="81" ht="14.25" spans="1:9">
      <c r="A81" s="13"/>
      <c r="B81" s="64" t="s">
        <v>42</v>
      </c>
      <c r="C81" s="65"/>
      <c r="D81" s="66"/>
      <c r="E81" s="8" t="s">
        <v>13</v>
      </c>
      <c r="F81" s="8">
        <v>1.9</v>
      </c>
      <c r="G81" s="21">
        <v>1.4</v>
      </c>
      <c r="H81" s="24"/>
      <c r="I81" s="8">
        <f t="shared" si="4"/>
        <v>308</v>
      </c>
    </row>
    <row r="82" ht="14.25" spans="1:9">
      <c r="A82" s="13"/>
      <c r="B82" s="64" t="s">
        <v>70</v>
      </c>
      <c r="C82" s="65"/>
      <c r="D82" s="66"/>
      <c r="E82" s="8" t="s">
        <v>13</v>
      </c>
      <c r="F82" s="8" t="s">
        <v>51</v>
      </c>
      <c r="G82" s="21">
        <v>4.6</v>
      </c>
      <c r="H82" s="24"/>
      <c r="I82" s="8">
        <f t="shared" si="4"/>
        <v>1012</v>
      </c>
    </row>
    <row r="83" ht="14.25" spans="1:9">
      <c r="A83" s="13"/>
      <c r="B83" s="64" t="s">
        <v>46</v>
      </c>
      <c r="C83" s="65"/>
      <c r="D83" s="66"/>
      <c r="E83" s="8" t="s">
        <v>13</v>
      </c>
      <c r="F83" s="8">
        <v>1.5</v>
      </c>
      <c r="G83" s="21">
        <v>0.13</v>
      </c>
      <c r="H83" s="24"/>
      <c r="I83" s="8">
        <f t="shared" si="4"/>
        <v>28.6</v>
      </c>
    </row>
    <row r="84" ht="14.25" spans="1:9">
      <c r="A84" s="13"/>
      <c r="B84" s="64" t="s">
        <v>80</v>
      </c>
      <c r="C84" s="65"/>
      <c r="D84" s="66"/>
      <c r="E84" s="8" t="s">
        <v>13</v>
      </c>
      <c r="F84" s="8" t="s">
        <v>81</v>
      </c>
      <c r="G84" s="21">
        <v>1.4</v>
      </c>
      <c r="H84" s="24"/>
      <c r="I84" s="8">
        <f t="shared" si="4"/>
        <v>308</v>
      </c>
    </row>
    <row r="85" ht="14.25" spans="1:9">
      <c r="A85" s="13"/>
      <c r="B85" s="64" t="s">
        <v>48</v>
      </c>
      <c r="C85" s="65"/>
      <c r="D85" s="66"/>
      <c r="E85" s="8" t="s">
        <v>49</v>
      </c>
      <c r="F85" s="8" t="s">
        <v>69</v>
      </c>
      <c r="G85" s="21">
        <v>2</v>
      </c>
      <c r="H85" s="24"/>
      <c r="I85" s="8">
        <f t="shared" si="4"/>
        <v>440</v>
      </c>
    </row>
    <row r="86" ht="14.25" spans="1:9">
      <c r="A86" s="13"/>
      <c r="B86" s="64" t="s">
        <v>82</v>
      </c>
      <c r="C86" s="65"/>
      <c r="D86" s="66"/>
      <c r="E86" s="22" t="s">
        <v>49</v>
      </c>
      <c r="F86" s="22" t="s">
        <v>83</v>
      </c>
      <c r="G86" s="21">
        <v>2</v>
      </c>
      <c r="H86" s="24"/>
      <c r="I86" s="8">
        <f t="shared" si="4"/>
        <v>440</v>
      </c>
    </row>
    <row r="87" ht="14.25" spans="1:9">
      <c r="A87" s="13"/>
      <c r="B87" s="64" t="s">
        <v>84</v>
      </c>
      <c r="C87" s="65"/>
      <c r="D87" s="66"/>
      <c r="E87" s="8" t="s">
        <v>13</v>
      </c>
      <c r="F87" s="8">
        <v>1.5</v>
      </c>
      <c r="G87" s="77">
        <v>0.14</v>
      </c>
      <c r="H87" s="24"/>
      <c r="I87" s="8">
        <f t="shared" si="4"/>
        <v>30.8</v>
      </c>
    </row>
    <row r="88" ht="14.25" spans="1:9">
      <c r="A88" s="13"/>
      <c r="B88" s="64" t="s">
        <v>52</v>
      </c>
      <c r="C88" s="65"/>
      <c r="D88" s="66"/>
      <c r="E88" s="22" t="s">
        <v>53</v>
      </c>
      <c r="F88" s="22" t="s">
        <v>54</v>
      </c>
      <c r="G88" s="72">
        <v>1</v>
      </c>
      <c r="H88" s="24"/>
      <c r="I88" s="8">
        <f t="shared" si="4"/>
        <v>220</v>
      </c>
    </row>
    <row r="89" ht="14.25" spans="1:9">
      <c r="A89" s="13"/>
      <c r="B89" s="64" t="s">
        <v>55</v>
      </c>
      <c r="C89" s="65"/>
      <c r="D89" s="66"/>
      <c r="E89" s="22"/>
      <c r="F89" s="22"/>
      <c r="G89" s="72"/>
      <c r="H89" s="24"/>
      <c r="I89" s="22"/>
    </row>
    <row r="90" ht="14.25" spans="1:9">
      <c r="A90" s="20"/>
      <c r="B90" s="64" t="s">
        <v>32</v>
      </c>
      <c r="C90" s="65"/>
      <c r="D90" s="66"/>
      <c r="E90" s="8"/>
      <c r="F90" s="8"/>
      <c r="G90" s="21"/>
      <c r="H90" s="25"/>
      <c r="I90" s="8"/>
    </row>
    <row r="91" ht="14.25" spans="1:9">
      <c r="A91" s="9" t="s">
        <v>87</v>
      </c>
      <c r="B91" s="64" t="s">
        <v>88</v>
      </c>
      <c r="C91" s="65"/>
      <c r="D91" s="66"/>
      <c r="E91" s="8" t="s">
        <v>13</v>
      </c>
      <c r="F91" s="76">
        <v>1.62</v>
      </c>
      <c r="G91" s="68">
        <v>1.88</v>
      </c>
      <c r="H91" s="22">
        <v>180</v>
      </c>
      <c r="I91" s="8">
        <f>G91*$H$91</f>
        <v>338.4</v>
      </c>
    </row>
    <row r="92" ht="14.25" spans="1:9">
      <c r="A92" s="13"/>
      <c r="B92" s="64" t="s">
        <v>41</v>
      </c>
      <c r="C92" s="65"/>
      <c r="D92" s="66"/>
      <c r="E92" s="8" t="s">
        <v>13</v>
      </c>
      <c r="F92" s="8">
        <v>1.65</v>
      </c>
      <c r="G92" s="21">
        <v>1.88</v>
      </c>
      <c r="H92" s="24"/>
      <c r="I92" s="8">
        <f t="shared" ref="I92:I106" si="5">G92*$H$91</f>
        <v>338.4</v>
      </c>
    </row>
    <row r="93" ht="14.25" spans="1:9">
      <c r="A93" s="13"/>
      <c r="B93" s="64" t="s">
        <v>42</v>
      </c>
      <c r="C93" s="65"/>
      <c r="D93" s="66"/>
      <c r="E93" s="8" t="s">
        <v>13</v>
      </c>
      <c r="F93" s="8">
        <v>1.7</v>
      </c>
      <c r="G93" s="21">
        <v>1.88</v>
      </c>
      <c r="H93" s="24"/>
      <c r="I93" s="8">
        <f t="shared" si="5"/>
        <v>338.4</v>
      </c>
    </row>
    <row r="94" ht="14.25" spans="1:9">
      <c r="A94" s="13"/>
      <c r="B94" s="64" t="s">
        <v>89</v>
      </c>
      <c r="C94" s="65"/>
      <c r="D94" s="66"/>
      <c r="E94" s="8" t="s">
        <v>13</v>
      </c>
      <c r="F94" s="8">
        <v>1.55</v>
      </c>
      <c r="G94" s="21">
        <v>1.08</v>
      </c>
      <c r="H94" s="24"/>
      <c r="I94" s="8">
        <f t="shared" si="5"/>
        <v>194.4</v>
      </c>
    </row>
    <row r="95" ht="14.25" spans="1:9">
      <c r="A95" s="13"/>
      <c r="B95" s="64" t="s">
        <v>41</v>
      </c>
      <c r="C95" s="65"/>
      <c r="D95" s="66"/>
      <c r="E95" s="8" t="s">
        <v>13</v>
      </c>
      <c r="F95" s="8">
        <v>1.58</v>
      </c>
      <c r="G95" s="21">
        <v>1.08</v>
      </c>
      <c r="H95" s="24"/>
      <c r="I95" s="8">
        <f t="shared" si="5"/>
        <v>194.4</v>
      </c>
    </row>
    <row r="96" ht="14.25" spans="1:9">
      <c r="A96" s="13"/>
      <c r="B96" s="64" t="s">
        <v>42</v>
      </c>
      <c r="C96" s="65"/>
      <c r="D96" s="66"/>
      <c r="E96" s="8" t="s">
        <v>13</v>
      </c>
      <c r="F96" s="8">
        <v>1.6</v>
      </c>
      <c r="G96" s="21">
        <v>1.08</v>
      </c>
      <c r="H96" s="24"/>
      <c r="I96" s="8">
        <f t="shared" si="5"/>
        <v>194.4</v>
      </c>
    </row>
    <row r="97" ht="14.25" spans="1:9">
      <c r="A97" s="13"/>
      <c r="B97" s="64" t="s">
        <v>44</v>
      </c>
      <c r="C97" s="65"/>
      <c r="D97" s="66"/>
      <c r="E97" s="8" t="s">
        <v>13</v>
      </c>
      <c r="F97" s="8">
        <v>1.8</v>
      </c>
      <c r="G97" s="21">
        <v>1.4</v>
      </c>
      <c r="H97" s="24"/>
      <c r="I97" s="8">
        <f t="shared" si="5"/>
        <v>252</v>
      </c>
    </row>
    <row r="98" ht="14.25" spans="1:9">
      <c r="A98" s="13"/>
      <c r="B98" s="64" t="s">
        <v>78</v>
      </c>
      <c r="C98" s="65"/>
      <c r="D98" s="66"/>
      <c r="E98" s="8" t="s">
        <v>13</v>
      </c>
      <c r="F98" s="8">
        <v>1.83</v>
      </c>
      <c r="G98" s="21">
        <v>1.4</v>
      </c>
      <c r="H98" s="24"/>
      <c r="I98" s="8">
        <f t="shared" si="5"/>
        <v>252</v>
      </c>
    </row>
    <row r="99" ht="14.25" spans="1:9">
      <c r="A99" s="13"/>
      <c r="B99" s="64" t="s">
        <v>42</v>
      </c>
      <c r="C99" s="65"/>
      <c r="D99" s="66"/>
      <c r="E99" s="8" t="s">
        <v>13</v>
      </c>
      <c r="F99" s="8">
        <v>1.9</v>
      </c>
      <c r="G99" s="21">
        <v>1.4</v>
      </c>
      <c r="H99" s="24"/>
      <c r="I99" s="8">
        <f t="shared" si="5"/>
        <v>252</v>
      </c>
    </row>
    <row r="100" ht="14.25" spans="1:9">
      <c r="A100" s="13"/>
      <c r="B100" s="64" t="s">
        <v>50</v>
      </c>
      <c r="C100" s="65"/>
      <c r="D100" s="66"/>
      <c r="E100" s="8" t="s">
        <v>13</v>
      </c>
      <c r="F100" s="8" t="s">
        <v>51</v>
      </c>
      <c r="G100" s="21">
        <v>4.6</v>
      </c>
      <c r="H100" s="24"/>
      <c r="I100" s="8">
        <f t="shared" si="5"/>
        <v>828</v>
      </c>
    </row>
    <row r="101" ht="14.25" spans="1:9">
      <c r="A101" s="13"/>
      <c r="B101" s="64" t="s">
        <v>46</v>
      </c>
      <c r="C101" s="65"/>
      <c r="D101" s="66"/>
      <c r="E101" s="8" t="s">
        <v>13</v>
      </c>
      <c r="F101" s="8">
        <v>1.5</v>
      </c>
      <c r="G101" s="21">
        <v>0.13</v>
      </c>
      <c r="H101" s="24"/>
      <c r="I101" s="8">
        <f t="shared" si="5"/>
        <v>23.4</v>
      </c>
    </row>
    <row r="102" ht="14.25" spans="1:9">
      <c r="A102" s="13"/>
      <c r="B102" s="64" t="s">
        <v>80</v>
      </c>
      <c r="C102" s="65"/>
      <c r="D102" s="66"/>
      <c r="E102" s="8" t="s">
        <v>13</v>
      </c>
      <c r="F102" s="8" t="s">
        <v>81</v>
      </c>
      <c r="G102" s="21">
        <v>1.4</v>
      </c>
      <c r="H102" s="24"/>
      <c r="I102" s="8">
        <f t="shared" si="5"/>
        <v>252</v>
      </c>
    </row>
    <row r="103" ht="14.25" spans="1:9">
      <c r="A103" s="13"/>
      <c r="B103" s="64" t="s">
        <v>48</v>
      </c>
      <c r="C103" s="65"/>
      <c r="D103" s="66"/>
      <c r="E103" s="8" t="s">
        <v>49</v>
      </c>
      <c r="F103" s="8" t="s">
        <v>69</v>
      </c>
      <c r="G103" s="21">
        <v>2</v>
      </c>
      <c r="H103" s="24"/>
      <c r="I103" s="8">
        <f t="shared" si="5"/>
        <v>360</v>
      </c>
    </row>
    <row r="104" ht="14.25" spans="1:9">
      <c r="A104" s="13"/>
      <c r="B104" s="64" t="s">
        <v>82</v>
      </c>
      <c r="C104" s="65"/>
      <c r="D104" s="66"/>
      <c r="E104" s="22" t="s">
        <v>49</v>
      </c>
      <c r="F104" s="22" t="s">
        <v>83</v>
      </c>
      <c r="G104" s="21">
        <v>2</v>
      </c>
      <c r="H104" s="24"/>
      <c r="I104" s="8">
        <f t="shared" si="5"/>
        <v>360</v>
      </c>
    </row>
    <row r="105" ht="14.25" spans="1:9">
      <c r="A105" s="13"/>
      <c r="B105" s="64" t="s">
        <v>84</v>
      </c>
      <c r="C105" s="65"/>
      <c r="D105" s="66"/>
      <c r="E105" s="8" t="s">
        <v>13</v>
      </c>
      <c r="F105" s="8">
        <v>1.5</v>
      </c>
      <c r="G105" s="77">
        <v>0.14</v>
      </c>
      <c r="H105" s="24"/>
      <c r="I105" s="8">
        <f t="shared" si="5"/>
        <v>25.2</v>
      </c>
    </row>
    <row r="106" ht="14.25" spans="1:9">
      <c r="A106" s="13"/>
      <c r="B106" s="64" t="s">
        <v>52</v>
      </c>
      <c r="C106" s="65"/>
      <c r="D106" s="66"/>
      <c r="E106" s="22" t="s">
        <v>53</v>
      </c>
      <c r="F106" s="22" t="s">
        <v>54</v>
      </c>
      <c r="G106" s="72">
        <v>1</v>
      </c>
      <c r="H106" s="24"/>
      <c r="I106" s="8">
        <f t="shared" si="5"/>
        <v>180</v>
      </c>
    </row>
    <row r="107" ht="14.25" spans="1:9">
      <c r="A107" s="13"/>
      <c r="B107" s="64" t="s">
        <v>55</v>
      </c>
      <c r="C107" s="65"/>
      <c r="D107" s="66"/>
      <c r="E107" s="22"/>
      <c r="F107" s="22"/>
      <c r="G107" s="72"/>
      <c r="H107" s="24"/>
      <c r="I107" s="22"/>
    </row>
    <row r="108" ht="14.25" spans="1:9">
      <c r="A108" s="20"/>
      <c r="B108" s="64" t="s">
        <v>32</v>
      </c>
      <c r="C108" s="65"/>
      <c r="D108" s="66"/>
      <c r="E108" s="8"/>
      <c r="F108" s="8"/>
      <c r="G108" s="21"/>
      <c r="H108" s="25"/>
      <c r="I108" s="8"/>
    </row>
    <row r="109" ht="14.25" spans="1:9">
      <c r="A109" s="9" t="s">
        <v>90</v>
      </c>
      <c r="B109" s="64" t="s">
        <v>44</v>
      </c>
      <c r="C109" s="65"/>
      <c r="D109" s="66"/>
      <c r="E109" s="8" t="s">
        <v>13</v>
      </c>
      <c r="F109" s="8">
        <v>1.8</v>
      </c>
      <c r="G109" s="21">
        <v>1.4</v>
      </c>
      <c r="H109" s="22">
        <v>120</v>
      </c>
      <c r="I109" s="8">
        <f>G109*$H$109</f>
        <v>168</v>
      </c>
    </row>
    <row r="110" ht="14.25" spans="1:9">
      <c r="A110" s="13"/>
      <c r="B110" s="64" t="s">
        <v>45</v>
      </c>
      <c r="C110" s="65"/>
      <c r="D110" s="66"/>
      <c r="E110" s="8" t="s">
        <v>13</v>
      </c>
      <c r="F110" s="8">
        <v>1.83</v>
      </c>
      <c r="G110" s="21">
        <v>1.4</v>
      </c>
      <c r="H110" s="24"/>
      <c r="I110" s="8">
        <f t="shared" ref="I110:I115" si="6">G110*$H$109</f>
        <v>168</v>
      </c>
    </row>
    <row r="111" ht="14.25" spans="1:9">
      <c r="A111" s="13"/>
      <c r="B111" s="64" t="s">
        <v>58</v>
      </c>
      <c r="C111" s="65"/>
      <c r="D111" s="66"/>
      <c r="E111" s="8" t="s">
        <v>13</v>
      </c>
      <c r="F111" s="8">
        <v>1.8</v>
      </c>
      <c r="G111" s="21">
        <v>1.03</v>
      </c>
      <c r="H111" s="24"/>
      <c r="I111" s="8">
        <f t="shared" si="6"/>
        <v>123.6</v>
      </c>
    </row>
    <row r="112" ht="14.25" spans="1:9">
      <c r="A112" s="13"/>
      <c r="B112" s="64" t="s">
        <v>45</v>
      </c>
      <c r="C112" s="65"/>
      <c r="D112" s="66"/>
      <c r="E112" s="8" t="s">
        <v>13</v>
      </c>
      <c r="F112" s="8">
        <v>1.83</v>
      </c>
      <c r="G112" s="21">
        <v>1.03</v>
      </c>
      <c r="H112" s="24"/>
      <c r="I112" s="8">
        <f t="shared" si="6"/>
        <v>123.6</v>
      </c>
    </row>
    <row r="113" ht="14.25" spans="1:9">
      <c r="A113" s="13"/>
      <c r="B113" s="64" t="s">
        <v>44</v>
      </c>
      <c r="C113" s="65"/>
      <c r="D113" s="66"/>
      <c r="E113" s="8" t="s">
        <v>13</v>
      </c>
      <c r="F113" s="8">
        <v>1.8</v>
      </c>
      <c r="G113" s="21">
        <v>1.3</v>
      </c>
      <c r="H113" s="24"/>
      <c r="I113" s="8">
        <f t="shared" si="6"/>
        <v>156</v>
      </c>
    </row>
    <row r="114" ht="14.25" spans="1:9">
      <c r="A114" s="13"/>
      <c r="B114" s="64" t="s">
        <v>48</v>
      </c>
      <c r="C114" s="65"/>
      <c r="D114" s="66"/>
      <c r="E114" s="8" t="s">
        <v>49</v>
      </c>
      <c r="F114" s="8" t="s">
        <v>69</v>
      </c>
      <c r="G114" s="21">
        <v>2</v>
      </c>
      <c r="H114" s="24"/>
      <c r="I114" s="8">
        <f t="shared" si="6"/>
        <v>240</v>
      </c>
    </row>
    <row r="115" ht="14.25" spans="1:9">
      <c r="A115" s="13"/>
      <c r="B115" s="64" t="s">
        <v>71</v>
      </c>
      <c r="C115" s="65"/>
      <c r="D115" s="66"/>
      <c r="E115" s="22" t="s">
        <v>53</v>
      </c>
      <c r="F115" s="22" t="s">
        <v>54</v>
      </c>
      <c r="G115" s="72">
        <v>1</v>
      </c>
      <c r="H115" s="24"/>
      <c r="I115" s="8">
        <f t="shared" si="6"/>
        <v>120</v>
      </c>
    </row>
    <row r="116" ht="14.25" spans="1:9">
      <c r="A116" s="13"/>
      <c r="B116" s="64" t="s">
        <v>55</v>
      </c>
      <c r="C116" s="65"/>
      <c r="D116" s="66"/>
      <c r="E116" s="22"/>
      <c r="F116" s="22"/>
      <c r="G116" s="72"/>
      <c r="H116" s="24"/>
      <c r="I116" s="22"/>
    </row>
    <row r="117" ht="14.25" spans="1:9">
      <c r="A117" s="20"/>
      <c r="B117" s="64" t="s">
        <v>32</v>
      </c>
      <c r="C117" s="65"/>
      <c r="D117" s="66"/>
      <c r="E117" s="8"/>
      <c r="F117" s="8"/>
      <c r="G117" s="21"/>
      <c r="H117" s="25"/>
      <c r="I117" s="8"/>
    </row>
    <row r="118" ht="14.25" spans="1:9">
      <c r="A118" s="9" t="s">
        <v>91</v>
      </c>
      <c r="B118" s="64" t="s">
        <v>44</v>
      </c>
      <c r="C118" s="65"/>
      <c r="D118" s="66"/>
      <c r="E118" s="8" t="s">
        <v>13</v>
      </c>
      <c r="F118" s="8">
        <v>1.8</v>
      </c>
      <c r="G118" s="21">
        <v>1.4</v>
      </c>
      <c r="H118" s="22">
        <v>100</v>
      </c>
      <c r="I118" s="8">
        <f>G118*$H$118</f>
        <v>140</v>
      </c>
    </row>
    <row r="119" ht="14.25" spans="1:9">
      <c r="A119" s="13"/>
      <c r="B119" s="64" t="s">
        <v>45</v>
      </c>
      <c r="C119" s="65"/>
      <c r="D119" s="66"/>
      <c r="E119" s="8" t="s">
        <v>13</v>
      </c>
      <c r="F119" s="8">
        <v>1.83</v>
      </c>
      <c r="G119" s="21">
        <v>1.4</v>
      </c>
      <c r="H119" s="24"/>
      <c r="I119" s="8">
        <f t="shared" ref="I119:I124" si="7">G119*$H$118</f>
        <v>140</v>
      </c>
    </row>
    <row r="120" ht="14.25" spans="1:9">
      <c r="A120" s="13"/>
      <c r="B120" s="64" t="s">
        <v>92</v>
      </c>
      <c r="C120" s="65"/>
      <c r="D120" s="66"/>
      <c r="E120" s="8" t="s">
        <v>13</v>
      </c>
      <c r="F120" s="8">
        <v>1.8</v>
      </c>
      <c r="G120" s="21">
        <v>1.03</v>
      </c>
      <c r="H120" s="24"/>
      <c r="I120" s="8">
        <f t="shared" si="7"/>
        <v>103</v>
      </c>
    </row>
    <row r="121" ht="14.25" spans="1:9">
      <c r="A121" s="13"/>
      <c r="B121" s="64" t="s">
        <v>45</v>
      </c>
      <c r="C121" s="65"/>
      <c r="D121" s="66"/>
      <c r="E121" s="8" t="s">
        <v>13</v>
      </c>
      <c r="F121" s="8">
        <v>1.83</v>
      </c>
      <c r="G121" s="21">
        <v>1.03</v>
      </c>
      <c r="H121" s="24"/>
      <c r="I121" s="8">
        <f t="shared" si="7"/>
        <v>103</v>
      </c>
    </row>
    <row r="122" ht="14.25" spans="1:9">
      <c r="A122" s="13"/>
      <c r="B122" s="64" t="s">
        <v>44</v>
      </c>
      <c r="C122" s="65"/>
      <c r="D122" s="66"/>
      <c r="E122" s="8" t="s">
        <v>13</v>
      </c>
      <c r="F122" s="8">
        <v>1.8</v>
      </c>
      <c r="G122" s="21">
        <v>1.3</v>
      </c>
      <c r="H122" s="24"/>
      <c r="I122" s="8">
        <f t="shared" si="7"/>
        <v>130</v>
      </c>
    </row>
    <row r="123" ht="14.25" spans="1:9">
      <c r="A123" s="13"/>
      <c r="B123" s="64" t="s">
        <v>48</v>
      </c>
      <c r="C123" s="65"/>
      <c r="D123" s="66"/>
      <c r="E123" s="8" t="s">
        <v>49</v>
      </c>
      <c r="F123" s="8" t="s">
        <v>69</v>
      </c>
      <c r="G123" s="21">
        <v>2</v>
      </c>
      <c r="H123" s="24"/>
      <c r="I123" s="8">
        <f t="shared" si="7"/>
        <v>200</v>
      </c>
    </row>
    <row r="124" ht="14.25" spans="1:9">
      <c r="A124" s="13"/>
      <c r="B124" s="64" t="s">
        <v>71</v>
      </c>
      <c r="C124" s="65"/>
      <c r="D124" s="66"/>
      <c r="E124" s="22" t="s">
        <v>53</v>
      </c>
      <c r="F124" s="22" t="s">
        <v>54</v>
      </c>
      <c r="G124" s="72">
        <v>1</v>
      </c>
      <c r="H124" s="24"/>
      <c r="I124" s="8">
        <f t="shared" si="7"/>
        <v>100</v>
      </c>
    </row>
    <row r="125" ht="14.25" spans="1:9">
      <c r="A125" s="13"/>
      <c r="B125" s="64" t="s">
        <v>55</v>
      </c>
      <c r="C125" s="65"/>
      <c r="D125" s="66"/>
      <c r="E125" s="22"/>
      <c r="F125" s="22"/>
      <c r="G125" s="72"/>
      <c r="H125" s="24"/>
      <c r="I125" s="22"/>
    </row>
    <row r="126" ht="14.25" spans="1:9">
      <c r="A126" s="20"/>
      <c r="B126" s="64" t="s">
        <v>32</v>
      </c>
      <c r="C126" s="65"/>
      <c r="D126" s="66"/>
      <c r="E126" s="8"/>
      <c r="F126" s="8"/>
      <c r="G126" s="21"/>
      <c r="H126" s="25"/>
      <c r="I126" s="8"/>
    </row>
    <row r="127" ht="14.25" spans="1:9">
      <c r="A127" s="9" t="s">
        <v>93</v>
      </c>
      <c r="B127" s="64" t="s">
        <v>44</v>
      </c>
      <c r="C127" s="65"/>
      <c r="D127" s="66"/>
      <c r="E127" s="8" t="s">
        <v>13</v>
      </c>
      <c r="F127" s="8">
        <v>1.8</v>
      </c>
      <c r="G127" s="21">
        <v>1.4</v>
      </c>
      <c r="H127" s="22">
        <v>100</v>
      </c>
      <c r="I127" s="8">
        <f>G127*$H$127</f>
        <v>140</v>
      </c>
    </row>
    <row r="128" ht="14.25" spans="1:9">
      <c r="A128" s="13"/>
      <c r="B128" s="64" t="s">
        <v>45</v>
      </c>
      <c r="C128" s="65"/>
      <c r="D128" s="66"/>
      <c r="E128" s="8" t="s">
        <v>13</v>
      </c>
      <c r="F128" s="8">
        <v>1.83</v>
      </c>
      <c r="G128" s="21">
        <v>1.4</v>
      </c>
      <c r="H128" s="24"/>
      <c r="I128" s="8">
        <f t="shared" ref="I128:I133" si="8">G128*$H$127</f>
        <v>140</v>
      </c>
    </row>
    <row r="129" ht="14.25" spans="1:9">
      <c r="A129" s="13"/>
      <c r="B129" s="64" t="s">
        <v>94</v>
      </c>
      <c r="C129" s="65"/>
      <c r="D129" s="66"/>
      <c r="E129" s="8" t="s">
        <v>13</v>
      </c>
      <c r="F129" s="8">
        <v>1.8</v>
      </c>
      <c r="G129" s="21">
        <v>1.03</v>
      </c>
      <c r="H129" s="24"/>
      <c r="I129" s="8">
        <f t="shared" si="8"/>
        <v>103</v>
      </c>
    </row>
    <row r="130" ht="14.25" spans="1:9">
      <c r="A130" s="13"/>
      <c r="B130" s="64" t="s">
        <v>45</v>
      </c>
      <c r="C130" s="65"/>
      <c r="D130" s="66"/>
      <c r="E130" s="8" t="s">
        <v>13</v>
      </c>
      <c r="F130" s="8">
        <v>1.83</v>
      </c>
      <c r="G130" s="21">
        <v>1.03</v>
      </c>
      <c r="H130" s="24"/>
      <c r="I130" s="8">
        <f t="shared" si="8"/>
        <v>103</v>
      </c>
    </row>
    <row r="131" ht="14.25" spans="1:9">
      <c r="A131" s="13"/>
      <c r="B131" s="64" t="s">
        <v>44</v>
      </c>
      <c r="C131" s="65"/>
      <c r="D131" s="66"/>
      <c r="E131" s="8" t="s">
        <v>13</v>
      </c>
      <c r="F131" s="8">
        <v>1.8</v>
      </c>
      <c r="G131" s="21">
        <v>1.3</v>
      </c>
      <c r="H131" s="24"/>
      <c r="I131" s="8">
        <f t="shared" si="8"/>
        <v>130</v>
      </c>
    </row>
    <row r="132" ht="14.25" spans="1:9">
      <c r="A132" s="13"/>
      <c r="B132" s="64" t="s">
        <v>48</v>
      </c>
      <c r="C132" s="65"/>
      <c r="D132" s="66"/>
      <c r="E132" s="8" t="s">
        <v>49</v>
      </c>
      <c r="F132" s="8" t="s">
        <v>69</v>
      </c>
      <c r="G132" s="21">
        <v>2</v>
      </c>
      <c r="H132" s="24"/>
      <c r="I132" s="8">
        <f t="shared" si="8"/>
        <v>200</v>
      </c>
    </row>
    <row r="133" ht="14.25" spans="1:9">
      <c r="A133" s="13"/>
      <c r="B133" s="64" t="s">
        <v>71</v>
      </c>
      <c r="C133" s="65"/>
      <c r="D133" s="66"/>
      <c r="E133" s="22" t="s">
        <v>53</v>
      </c>
      <c r="F133" s="22" t="s">
        <v>54</v>
      </c>
      <c r="G133" s="72">
        <v>1</v>
      </c>
      <c r="H133" s="24"/>
      <c r="I133" s="8">
        <f t="shared" si="8"/>
        <v>100</v>
      </c>
    </row>
    <row r="134" ht="14.25" spans="1:9">
      <c r="A134" s="13"/>
      <c r="B134" s="64" t="s">
        <v>55</v>
      </c>
      <c r="C134" s="65"/>
      <c r="D134" s="66"/>
      <c r="E134" s="22"/>
      <c r="F134" s="22"/>
      <c r="G134" s="72"/>
      <c r="H134" s="24"/>
      <c r="I134" s="22"/>
    </row>
    <row r="135" ht="14.25" spans="1:9">
      <c r="A135" s="20"/>
      <c r="B135" s="64" t="s">
        <v>32</v>
      </c>
      <c r="C135" s="65"/>
      <c r="D135" s="66"/>
      <c r="E135" s="8"/>
      <c r="F135" s="8"/>
      <c r="G135" s="21"/>
      <c r="H135" s="25"/>
      <c r="I135" s="8"/>
    </row>
    <row r="136" ht="14.25" spans="1:9">
      <c r="A136" s="9" t="s">
        <v>95</v>
      </c>
      <c r="B136" s="64" t="s">
        <v>96</v>
      </c>
      <c r="C136" s="65"/>
      <c r="D136" s="66"/>
      <c r="E136" s="8" t="s">
        <v>13</v>
      </c>
      <c r="F136" s="8">
        <v>1.62</v>
      </c>
      <c r="G136" s="21">
        <v>1.5</v>
      </c>
      <c r="H136" s="22">
        <v>190</v>
      </c>
      <c r="I136" s="8">
        <f>G136*$H$136</f>
        <v>285</v>
      </c>
    </row>
    <row r="137" ht="14.25" spans="1:9">
      <c r="A137" s="13"/>
      <c r="B137" s="64" t="s">
        <v>97</v>
      </c>
      <c r="C137" s="65"/>
      <c r="D137" s="66"/>
      <c r="E137" s="8" t="s">
        <v>13</v>
      </c>
      <c r="F137" s="8">
        <v>1.65</v>
      </c>
      <c r="G137" s="21">
        <v>1.5</v>
      </c>
      <c r="H137" s="24"/>
      <c r="I137" s="8">
        <f t="shared" ref="I137:I159" si="9">G137*$H$136</f>
        <v>285</v>
      </c>
    </row>
    <row r="138" ht="14.25" spans="1:9">
      <c r="A138" s="13"/>
      <c r="B138" s="78" t="s">
        <v>96</v>
      </c>
      <c r="C138" s="79"/>
      <c r="D138" s="80"/>
      <c r="E138" s="81" t="s">
        <v>13</v>
      </c>
      <c r="F138" s="81">
        <v>1.62</v>
      </c>
      <c r="G138" s="82">
        <v>0.38</v>
      </c>
      <c r="H138" s="24"/>
      <c r="I138" s="8">
        <f t="shared" si="9"/>
        <v>72.2</v>
      </c>
    </row>
    <row r="139" ht="14.25" spans="1:9">
      <c r="A139" s="13"/>
      <c r="B139" s="78" t="s">
        <v>97</v>
      </c>
      <c r="C139" s="79"/>
      <c r="D139" s="80"/>
      <c r="E139" s="81" t="s">
        <v>13</v>
      </c>
      <c r="F139" s="81">
        <v>1.65</v>
      </c>
      <c r="G139" s="82">
        <v>0.38</v>
      </c>
      <c r="H139" s="24"/>
      <c r="I139" s="8">
        <f t="shared" si="9"/>
        <v>72.2</v>
      </c>
    </row>
    <row r="140" ht="14.25" spans="1:9">
      <c r="A140" s="13"/>
      <c r="B140" s="78" t="s">
        <v>98</v>
      </c>
      <c r="C140" s="79"/>
      <c r="D140" s="80"/>
      <c r="E140" s="81" t="s">
        <v>13</v>
      </c>
      <c r="F140" s="81">
        <v>1.68</v>
      </c>
      <c r="G140" s="82">
        <v>0.38</v>
      </c>
      <c r="H140" s="24"/>
      <c r="I140" s="8">
        <f t="shared" si="9"/>
        <v>72.2</v>
      </c>
    </row>
    <row r="141" ht="14.25" spans="1:9">
      <c r="A141" s="13"/>
      <c r="B141" s="64" t="s">
        <v>96</v>
      </c>
      <c r="C141" s="65"/>
      <c r="D141" s="66"/>
      <c r="E141" s="8" t="s">
        <v>13</v>
      </c>
      <c r="F141" s="8">
        <v>1.62</v>
      </c>
      <c r="G141" s="21">
        <v>0.93</v>
      </c>
      <c r="H141" s="24"/>
      <c r="I141" s="8">
        <f t="shared" si="9"/>
        <v>176.7</v>
      </c>
    </row>
    <row r="142" ht="14.25" spans="1:9">
      <c r="A142" s="13"/>
      <c r="B142" s="64" t="s">
        <v>99</v>
      </c>
      <c r="C142" s="65"/>
      <c r="D142" s="66"/>
      <c r="E142" s="8" t="s">
        <v>13</v>
      </c>
      <c r="F142" s="8">
        <v>1.65</v>
      </c>
      <c r="G142" s="21">
        <v>0.93</v>
      </c>
      <c r="H142" s="24"/>
      <c r="I142" s="8">
        <f t="shared" si="9"/>
        <v>176.7</v>
      </c>
    </row>
    <row r="143" ht="14.25" spans="1:9">
      <c r="A143" s="13"/>
      <c r="B143" s="64" t="s">
        <v>100</v>
      </c>
      <c r="C143" s="65"/>
      <c r="D143" s="66"/>
      <c r="E143" s="8" t="s">
        <v>13</v>
      </c>
      <c r="F143" s="8">
        <v>1.68</v>
      </c>
      <c r="G143" s="21">
        <v>0.93</v>
      </c>
      <c r="H143" s="24"/>
      <c r="I143" s="8">
        <f t="shared" si="9"/>
        <v>176.7</v>
      </c>
    </row>
    <row r="144" ht="14.25" spans="1:9">
      <c r="A144" s="13"/>
      <c r="B144" s="78" t="s">
        <v>101</v>
      </c>
      <c r="C144" s="79"/>
      <c r="D144" s="80"/>
      <c r="E144" s="81" t="s">
        <v>13</v>
      </c>
      <c r="F144" s="81">
        <v>1.8</v>
      </c>
      <c r="G144" s="82">
        <v>1.8</v>
      </c>
      <c r="H144" s="24"/>
      <c r="I144" s="8">
        <f t="shared" si="9"/>
        <v>342</v>
      </c>
    </row>
    <row r="145" ht="14.25" spans="1:9">
      <c r="A145" s="13"/>
      <c r="B145" s="78" t="s">
        <v>102</v>
      </c>
      <c r="C145" s="79"/>
      <c r="D145" s="80"/>
      <c r="E145" s="81" t="s">
        <v>13</v>
      </c>
      <c r="F145" s="81">
        <v>1.83</v>
      </c>
      <c r="G145" s="82">
        <v>1.8</v>
      </c>
      <c r="H145" s="24"/>
      <c r="I145" s="8">
        <f t="shared" si="9"/>
        <v>342</v>
      </c>
    </row>
    <row r="146" ht="14.25" spans="1:9">
      <c r="A146" s="13"/>
      <c r="B146" s="64" t="s">
        <v>103</v>
      </c>
      <c r="C146" s="65"/>
      <c r="D146" s="66"/>
      <c r="E146" s="8" t="s">
        <v>13</v>
      </c>
      <c r="F146" s="8">
        <v>1.15</v>
      </c>
      <c r="G146" s="21">
        <v>1.9</v>
      </c>
      <c r="H146" s="24"/>
      <c r="I146" s="8">
        <f t="shared" si="9"/>
        <v>361</v>
      </c>
    </row>
    <row r="147" ht="14.25" spans="1:9">
      <c r="A147" s="13"/>
      <c r="B147" s="64" t="s">
        <v>104</v>
      </c>
      <c r="C147" s="65"/>
      <c r="D147" s="66"/>
      <c r="E147" s="8" t="s">
        <v>13</v>
      </c>
      <c r="F147" s="8">
        <v>1.7</v>
      </c>
      <c r="G147" s="21">
        <v>0.52</v>
      </c>
      <c r="H147" s="24"/>
      <c r="I147" s="8">
        <f t="shared" si="9"/>
        <v>98.8</v>
      </c>
    </row>
    <row r="148" ht="14.25" spans="1:9">
      <c r="A148" s="13"/>
      <c r="B148" s="64" t="s">
        <v>105</v>
      </c>
      <c r="C148" s="65"/>
      <c r="D148" s="66"/>
      <c r="E148" s="8" t="s">
        <v>13</v>
      </c>
      <c r="F148" s="8">
        <v>1.6</v>
      </c>
      <c r="G148" s="21">
        <v>0.6</v>
      </c>
      <c r="H148" s="24"/>
      <c r="I148" s="8">
        <f t="shared" si="9"/>
        <v>114</v>
      </c>
    </row>
    <row r="149" ht="14.25" spans="1:9">
      <c r="A149" s="13"/>
      <c r="B149" s="78" t="s">
        <v>106</v>
      </c>
      <c r="C149" s="79"/>
      <c r="D149" s="80"/>
      <c r="E149" s="81" t="s">
        <v>13</v>
      </c>
      <c r="F149" s="81" t="s">
        <v>54</v>
      </c>
      <c r="G149" s="82">
        <v>6.1</v>
      </c>
      <c r="H149" s="24"/>
      <c r="I149" s="8">
        <f t="shared" si="9"/>
        <v>1159</v>
      </c>
    </row>
    <row r="150" ht="14.25" spans="1:9">
      <c r="A150" s="13"/>
      <c r="B150" s="78" t="s">
        <v>107</v>
      </c>
      <c r="C150" s="79"/>
      <c r="D150" s="80"/>
      <c r="E150" s="81" t="s">
        <v>13</v>
      </c>
      <c r="F150" s="81" t="s">
        <v>54</v>
      </c>
      <c r="G150" s="82">
        <v>6.1</v>
      </c>
      <c r="H150" s="24"/>
      <c r="I150" s="8">
        <f t="shared" si="9"/>
        <v>1159</v>
      </c>
    </row>
    <row r="151" ht="14.25" spans="1:9">
      <c r="A151" s="13"/>
      <c r="B151" s="64" t="s">
        <v>108</v>
      </c>
      <c r="C151" s="65"/>
      <c r="D151" s="65"/>
      <c r="E151" s="8" t="s">
        <v>13</v>
      </c>
      <c r="F151" s="8" t="s">
        <v>109</v>
      </c>
      <c r="G151" s="21">
        <v>31</v>
      </c>
      <c r="H151" s="24"/>
      <c r="I151" s="8">
        <f t="shared" si="9"/>
        <v>5890</v>
      </c>
    </row>
    <row r="152" ht="14.25" spans="1:9">
      <c r="A152" s="13"/>
      <c r="B152" s="64" t="s">
        <v>110</v>
      </c>
      <c r="C152" s="65"/>
      <c r="D152" s="65"/>
      <c r="E152" s="8" t="s">
        <v>60</v>
      </c>
      <c r="F152" s="8" t="s">
        <v>54</v>
      </c>
      <c r="G152" s="21">
        <v>6</v>
      </c>
      <c r="H152" s="24"/>
      <c r="I152" s="8">
        <f t="shared" si="9"/>
        <v>1140</v>
      </c>
    </row>
    <row r="153" ht="14.25" spans="1:9">
      <c r="A153" s="13"/>
      <c r="B153" s="64" t="s">
        <v>111</v>
      </c>
      <c r="C153" s="65"/>
      <c r="D153" s="65"/>
      <c r="E153" s="8" t="s">
        <v>53</v>
      </c>
      <c r="F153" s="8" t="s">
        <v>54</v>
      </c>
      <c r="G153" s="21">
        <v>1</v>
      </c>
      <c r="H153" s="24"/>
      <c r="I153" s="8">
        <f t="shared" si="9"/>
        <v>190</v>
      </c>
    </row>
    <row r="154" ht="14.25" spans="1:9">
      <c r="A154" s="13"/>
      <c r="B154" s="64" t="s">
        <v>112</v>
      </c>
      <c r="C154" s="65"/>
      <c r="D154" s="65"/>
      <c r="E154" s="8" t="s">
        <v>113</v>
      </c>
      <c r="F154" s="8" t="s">
        <v>54</v>
      </c>
      <c r="G154" s="21">
        <v>2</v>
      </c>
      <c r="H154" s="24"/>
      <c r="I154" s="8">
        <f t="shared" si="9"/>
        <v>380</v>
      </c>
    </row>
    <row r="155" ht="14.25" spans="1:9">
      <c r="A155" s="13"/>
      <c r="B155" s="64" t="s">
        <v>114</v>
      </c>
      <c r="C155" s="65"/>
      <c r="D155" s="65"/>
      <c r="E155" s="8" t="s">
        <v>13</v>
      </c>
      <c r="F155" s="8" t="s">
        <v>54</v>
      </c>
      <c r="G155" s="21">
        <v>1</v>
      </c>
      <c r="H155" s="24"/>
      <c r="I155" s="8">
        <f t="shared" si="9"/>
        <v>190</v>
      </c>
    </row>
    <row r="156" ht="14.25" spans="1:9">
      <c r="A156" s="13"/>
      <c r="B156" s="64" t="s">
        <v>115</v>
      </c>
      <c r="C156" s="65"/>
      <c r="D156" s="65"/>
      <c r="E156" s="8" t="s">
        <v>19</v>
      </c>
      <c r="F156" s="8" t="s">
        <v>54</v>
      </c>
      <c r="G156" s="21">
        <v>4</v>
      </c>
      <c r="H156" s="24"/>
      <c r="I156" s="8">
        <f t="shared" si="9"/>
        <v>760</v>
      </c>
    </row>
    <row r="157" ht="14.25" spans="1:9">
      <c r="A157" s="13"/>
      <c r="B157" s="64" t="s">
        <v>116</v>
      </c>
      <c r="C157" s="65"/>
      <c r="D157" s="65"/>
      <c r="E157" s="8" t="s">
        <v>13</v>
      </c>
      <c r="F157" s="8" t="s">
        <v>117</v>
      </c>
      <c r="G157" s="21">
        <v>9</v>
      </c>
      <c r="H157" s="24"/>
      <c r="I157" s="8">
        <f t="shared" si="9"/>
        <v>1710</v>
      </c>
    </row>
    <row r="158" ht="14.25" spans="1:9">
      <c r="A158" s="13"/>
      <c r="B158" s="64" t="s">
        <v>118</v>
      </c>
      <c r="C158" s="65"/>
      <c r="D158" s="65"/>
      <c r="E158" s="8" t="s">
        <v>13</v>
      </c>
      <c r="F158" s="8" t="s">
        <v>119</v>
      </c>
      <c r="G158" s="21">
        <v>1</v>
      </c>
      <c r="H158" s="24"/>
      <c r="I158" s="8">
        <f t="shared" si="9"/>
        <v>190</v>
      </c>
    </row>
    <row r="159" ht="14.25" spans="1:9">
      <c r="A159" s="13"/>
      <c r="B159" s="69" t="s">
        <v>48</v>
      </c>
      <c r="C159" s="70"/>
      <c r="D159" s="70"/>
      <c r="E159" s="8" t="s">
        <v>49</v>
      </c>
      <c r="F159" s="8" t="s">
        <v>69</v>
      </c>
      <c r="G159" s="21">
        <v>2</v>
      </c>
      <c r="H159" s="24"/>
      <c r="I159" s="8">
        <f t="shared" si="9"/>
        <v>380</v>
      </c>
    </row>
    <row r="160" ht="14.25" spans="1:9">
      <c r="A160" s="20"/>
      <c r="B160" s="73" t="s">
        <v>32</v>
      </c>
      <c r="C160" s="74"/>
      <c r="D160" s="75"/>
      <c r="E160" s="8"/>
      <c r="F160" s="8"/>
      <c r="G160" s="21"/>
      <c r="H160" s="25"/>
      <c r="I160" s="8"/>
    </row>
    <row r="161" ht="14.25" spans="1:9">
      <c r="A161" s="9" t="s">
        <v>120</v>
      </c>
      <c r="B161" s="64" t="s">
        <v>96</v>
      </c>
      <c r="C161" s="65"/>
      <c r="D161" s="66"/>
      <c r="E161" s="8" t="s">
        <v>13</v>
      </c>
      <c r="F161" s="8">
        <v>1.62</v>
      </c>
      <c r="G161" s="21">
        <v>1.43</v>
      </c>
      <c r="H161" s="22">
        <v>120</v>
      </c>
      <c r="I161" s="8">
        <f>G161*$H$161</f>
        <v>171.6</v>
      </c>
    </row>
    <row r="162" ht="14.25" spans="1:9">
      <c r="A162" s="13"/>
      <c r="B162" s="64" t="s">
        <v>97</v>
      </c>
      <c r="C162" s="65"/>
      <c r="D162" s="66"/>
      <c r="E162" s="8" t="s">
        <v>13</v>
      </c>
      <c r="F162" s="8">
        <v>1.65</v>
      </c>
      <c r="G162" s="21">
        <v>1.43</v>
      </c>
      <c r="H162" s="24"/>
      <c r="I162" s="8">
        <f t="shared" ref="I162:I186" si="10">G162*$H$161</f>
        <v>171.6</v>
      </c>
    </row>
    <row r="163" ht="14.25" spans="1:9">
      <c r="A163" s="13"/>
      <c r="B163" s="78" t="s">
        <v>96</v>
      </c>
      <c r="C163" s="79"/>
      <c r="D163" s="80"/>
      <c r="E163" s="81" t="s">
        <v>13</v>
      </c>
      <c r="F163" s="81">
        <v>1.62</v>
      </c>
      <c r="G163" s="82">
        <v>0.38</v>
      </c>
      <c r="H163" s="24"/>
      <c r="I163" s="8">
        <f t="shared" si="10"/>
        <v>45.6</v>
      </c>
    </row>
    <row r="164" ht="14.25" spans="1:9">
      <c r="A164" s="13"/>
      <c r="B164" s="78" t="s">
        <v>97</v>
      </c>
      <c r="C164" s="79"/>
      <c r="D164" s="80"/>
      <c r="E164" s="81" t="s">
        <v>13</v>
      </c>
      <c r="F164" s="81">
        <v>1.65</v>
      </c>
      <c r="G164" s="82">
        <v>0.38</v>
      </c>
      <c r="H164" s="24"/>
      <c r="I164" s="8">
        <f t="shared" si="10"/>
        <v>45.6</v>
      </c>
    </row>
    <row r="165" ht="14.25" spans="1:9">
      <c r="A165" s="13"/>
      <c r="B165" s="78" t="s">
        <v>98</v>
      </c>
      <c r="C165" s="79"/>
      <c r="D165" s="80"/>
      <c r="E165" s="81" t="s">
        <v>13</v>
      </c>
      <c r="F165" s="81">
        <v>1.68</v>
      </c>
      <c r="G165" s="82">
        <v>0.38</v>
      </c>
      <c r="H165" s="24"/>
      <c r="I165" s="8">
        <f t="shared" si="10"/>
        <v>45.6</v>
      </c>
    </row>
    <row r="166" ht="14.25" spans="1:9">
      <c r="A166" s="13"/>
      <c r="B166" s="64" t="s">
        <v>121</v>
      </c>
      <c r="C166" s="65"/>
      <c r="D166" s="66"/>
      <c r="E166" s="8" t="s">
        <v>13</v>
      </c>
      <c r="F166" s="8">
        <v>1.62</v>
      </c>
      <c r="G166" s="21">
        <v>0.06</v>
      </c>
      <c r="H166" s="24"/>
      <c r="I166" s="8">
        <f t="shared" si="10"/>
        <v>7.2</v>
      </c>
    </row>
    <row r="167" ht="14.25" spans="1:9">
      <c r="A167" s="13"/>
      <c r="B167" s="64" t="s">
        <v>97</v>
      </c>
      <c r="C167" s="65"/>
      <c r="D167" s="66"/>
      <c r="E167" s="8" t="s">
        <v>13</v>
      </c>
      <c r="F167" s="8">
        <v>1.65</v>
      </c>
      <c r="G167" s="21">
        <v>0.06</v>
      </c>
      <c r="H167" s="24"/>
      <c r="I167" s="8">
        <f t="shared" si="10"/>
        <v>7.2</v>
      </c>
    </row>
    <row r="168" ht="14.25" spans="1:9">
      <c r="A168" s="13"/>
      <c r="B168" s="78" t="s">
        <v>96</v>
      </c>
      <c r="C168" s="79"/>
      <c r="D168" s="80"/>
      <c r="E168" s="81" t="s">
        <v>13</v>
      </c>
      <c r="F168" s="81">
        <v>1.6</v>
      </c>
      <c r="G168" s="82">
        <v>0.93</v>
      </c>
      <c r="H168" s="24"/>
      <c r="I168" s="8">
        <f t="shared" si="10"/>
        <v>111.6</v>
      </c>
    </row>
    <row r="169" ht="14.25" spans="1:9">
      <c r="A169" s="13"/>
      <c r="B169" s="78" t="s">
        <v>99</v>
      </c>
      <c r="C169" s="79"/>
      <c r="D169" s="80"/>
      <c r="E169" s="81" t="s">
        <v>13</v>
      </c>
      <c r="F169" s="81">
        <v>1.63</v>
      </c>
      <c r="G169" s="82">
        <v>0.93</v>
      </c>
      <c r="H169" s="24"/>
      <c r="I169" s="8">
        <f t="shared" si="10"/>
        <v>111.6</v>
      </c>
    </row>
    <row r="170" ht="14.25" spans="1:9">
      <c r="A170" s="13"/>
      <c r="B170" s="78" t="s">
        <v>100</v>
      </c>
      <c r="C170" s="79"/>
      <c r="D170" s="80"/>
      <c r="E170" s="81" t="s">
        <v>13</v>
      </c>
      <c r="F170" s="81">
        <v>1.65</v>
      </c>
      <c r="G170" s="82">
        <v>0.93</v>
      </c>
      <c r="H170" s="24"/>
      <c r="I170" s="8">
        <f t="shared" si="10"/>
        <v>111.6</v>
      </c>
    </row>
    <row r="171" ht="14.25" spans="1:9">
      <c r="A171" s="13"/>
      <c r="B171" s="64" t="s">
        <v>101</v>
      </c>
      <c r="C171" s="65"/>
      <c r="D171" s="66"/>
      <c r="E171" s="8" t="s">
        <v>13</v>
      </c>
      <c r="F171" s="8">
        <v>1.8</v>
      </c>
      <c r="G171" s="21">
        <v>1.8</v>
      </c>
      <c r="H171" s="24"/>
      <c r="I171" s="8">
        <f t="shared" si="10"/>
        <v>216</v>
      </c>
    </row>
    <row r="172" ht="14.25" spans="1:9">
      <c r="A172" s="13"/>
      <c r="B172" s="73" t="s">
        <v>102</v>
      </c>
      <c r="C172" s="74"/>
      <c r="D172" s="75"/>
      <c r="E172" s="8" t="s">
        <v>13</v>
      </c>
      <c r="F172" s="8">
        <v>1.83</v>
      </c>
      <c r="G172" s="21">
        <v>1.8</v>
      </c>
      <c r="H172" s="24"/>
      <c r="I172" s="8">
        <f t="shared" si="10"/>
        <v>216</v>
      </c>
    </row>
    <row r="173" ht="14.25" spans="1:9">
      <c r="A173" s="13"/>
      <c r="B173" s="78" t="s">
        <v>103</v>
      </c>
      <c r="C173" s="79"/>
      <c r="D173" s="80"/>
      <c r="E173" s="81" t="s">
        <v>13</v>
      </c>
      <c r="F173" s="81">
        <v>1.15</v>
      </c>
      <c r="G173" s="82">
        <v>1.9</v>
      </c>
      <c r="H173" s="24"/>
      <c r="I173" s="8">
        <f t="shared" si="10"/>
        <v>228</v>
      </c>
    </row>
    <row r="174" ht="14.25" spans="1:9">
      <c r="A174" s="13"/>
      <c r="B174" s="64" t="s">
        <v>104</v>
      </c>
      <c r="C174" s="65"/>
      <c r="D174" s="66"/>
      <c r="E174" s="8" t="s">
        <v>13</v>
      </c>
      <c r="F174" s="8">
        <v>1.7</v>
      </c>
      <c r="G174" s="21">
        <v>0.52</v>
      </c>
      <c r="H174" s="24"/>
      <c r="I174" s="8">
        <f t="shared" si="10"/>
        <v>62.4</v>
      </c>
    </row>
    <row r="175" ht="14.25" spans="1:9">
      <c r="A175" s="13"/>
      <c r="B175" s="64" t="s">
        <v>105</v>
      </c>
      <c r="C175" s="65"/>
      <c r="D175" s="66"/>
      <c r="E175" s="8" t="s">
        <v>13</v>
      </c>
      <c r="F175" s="8">
        <v>1.6</v>
      </c>
      <c r="G175" s="21">
        <v>0.6</v>
      </c>
      <c r="H175" s="24"/>
      <c r="I175" s="8">
        <f t="shared" si="10"/>
        <v>72</v>
      </c>
    </row>
    <row r="176" ht="14.25" spans="1:9">
      <c r="A176" s="13"/>
      <c r="B176" s="64" t="s">
        <v>122</v>
      </c>
      <c r="C176" s="65"/>
      <c r="D176" s="66"/>
      <c r="E176" s="8" t="s">
        <v>13</v>
      </c>
      <c r="F176" s="8" t="s">
        <v>54</v>
      </c>
      <c r="G176" s="21">
        <v>6.1</v>
      </c>
      <c r="H176" s="24"/>
      <c r="I176" s="8">
        <f t="shared" si="10"/>
        <v>732</v>
      </c>
    </row>
    <row r="177" ht="14.25" spans="1:9">
      <c r="A177" s="13"/>
      <c r="B177" s="73" t="s">
        <v>107</v>
      </c>
      <c r="C177" s="74"/>
      <c r="D177" s="75"/>
      <c r="E177" s="8" t="s">
        <v>13</v>
      </c>
      <c r="F177" s="8" t="s">
        <v>54</v>
      </c>
      <c r="G177" s="21">
        <v>6.1</v>
      </c>
      <c r="H177" s="24"/>
      <c r="I177" s="8">
        <f t="shared" si="10"/>
        <v>732</v>
      </c>
    </row>
    <row r="178" ht="14.25" spans="1:9">
      <c r="A178" s="13"/>
      <c r="B178" s="64" t="s">
        <v>108</v>
      </c>
      <c r="C178" s="65"/>
      <c r="D178" s="65"/>
      <c r="E178" s="8" t="s">
        <v>13</v>
      </c>
      <c r="F178" s="8" t="s">
        <v>109</v>
      </c>
      <c r="G178" s="21">
        <v>34</v>
      </c>
      <c r="H178" s="24"/>
      <c r="I178" s="8">
        <f t="shared" si="10"/>
        <v>4080</v>
      </c>
    </row>
    <row r="179" ht="14.25" spans="1:9">
      <c r="A179" s="13"/>
      <c r="B179" s="64" t="s">
        <v>110</v>
      </c>
      <c r="C179" s="65"/>
      <c r="D179" s="65"/>
      <c r="E179" s="8" t="s">
        <v>60</v>
      </c>
      <c r="F179" s="8" t="s">
        <v>54</v>
      </c>
      <c r="G179" s="21">
        <v>6</v>
      </c>
      <c r="H179" s="24"/>
      <c r="I179" s="8">
        <f t="shared" si="10"/>
        <v>720</v>
      </c>
    </row>
    <row r="180" ht="14.25" spans="1:9">
      <c r="A180" s="13"/>
      <c r="B180" s="64" t="s">
        <v>111</v>
      </c>
      <c r="C180" s="65"/>
      <c r="D180" s="65"/>
      <c r="E180" s="8" t="s">
        <v>53</v>
      </c>
      <c r="F180" s="8" t="s">
        <v>54</v>
      </c>
      <c r="G180" s="21">
        <v>1</v>
      </c>
      <c r="H180" s="24"/>
      <c r="I180" s="8">
        <f t="shared" si="10"/>
        <v>120</v>
      </c>
    </row>
    <row r="181" ht="14.25" spans="1:9">
      <c r="A181" s="13"/>
      <c r="B181" s="64" t="s">
        <v>112</v>
      </c>
      <c r="C181" s="65"/>
      <c r="D181" s="65"/>
      <c r="E181" s="8" t="s">
        <v>113</v>
      </c>
      <c r="F181" s="8" t="s">
        <v>54</v>
      </c>
      <c r="G181" s="21">
        <v>2</v>
      </c>
      <c r="H181" s="24"/>
      <c r="I181" s="8">
        <f t="shared" si="10"/>
        <v>240</v>
      </c>
    </row>
    <row r="182" ht="14.25" spans="1:9">
      <c r="A182" s="13"/>
      <c r="B182" s="64" t="s">
        <v>114</v>
      </c>
      <c r="C182" s="65"/>
      <c r="D182" s="65"/>
      <c r="E182" s="8" t="s">
        <v>13</v>
      </c>
      <c r="F182" s="8" t="s">
        <v>54</v>
      </c>
      <c r="G182" s="21">
        <v>1</v>
      </c>
      <c r="H182" s="24"/>
      <c r="I182" s="8">
        <f t="shared" si="10"/>
        <v>120</v>
      </c>
    </row>
    <row r="183" ht="14.25" spans="1:9">
      <c r="A183" s="13"/>
      <c r="B183" s="64" t="s">
        <v>115</v>
      </c>
      <c r="C183" s="65"/>
      <c r="D183" s="65"/>
      <c r="E183" s="8" t="s">
        <v>19</v>
      </c>
      <c r="F183" s="8" t="s">
        <v>54</v>
      </c>
      <c r="G183" s="21">
        <v>4</v>
      </c>
      <c r="H183" s="24"/>
      <c r="I183" s="8">
        <f t="shared" si="10"/>
        <v>480</v>
      </c>
    </row>
    <row r="184" ht="14.25" spans="1:9">
      <c r="A184" s="13"/>
      <c r="B184" s="64" t="s">
        <v>116</v>
      </c>
      <c r="C184" s="65"/>
      <c r="D184" s="65"/>
      <c r="E184" s="8" t="s">
        <v>13</v>
      </c>
      <c r="F184" s="8" t="s">
        <v>117</v>
      </c>
      <c r="G184" s="21">
        <v>9</v>
      </c>
      <c r="H184" s="24"/>
      <c r="I184" s="8">
        <f t="shared" si="10"/>
        <v>1080</v>
      </c>
    </row>
    <row r="185" ht="14.25" spans="1:9">
      <c r="A185" s="13"/>
      <c r="B185" s="64" t="s">
        <v>118</v>
      </c>
      <c r="C185" s="65"/>
      <c r="D185" s="65"/>
      <c r="E185" s="8" t="s">
        <v>13</v>
      </c>
      <c r="F185" s="8" t="s">
        <v>119</v>
      </c>
      <c r="G185" s="21">
        <v>1</v>
      </c>
      <c r="H185" s="24"/>
      <c r="I185" s="8">
        <f t="shared" si="10"/>
        <v>120</v>
      </c>
    </row>
    <row r="186" ht="14.25" spans="1:9">
      <c r="A186" s="13"/>
      <c r="B186" s="69" t="s">
        <v>48</v>
      </c>
      <c r="C186" s="70"/>
      <c r="D186" s="70"/>
      <c r="E186" s="8" t="s">
        <v>49</v>
      </c>
      <c r="F186" s="8" t="s">
        <v>69</v>
      </c>
      <c r="G186" s="21">
        <v>2</v>
      </c>
      <c r="H186" s="24"/>
      <c r="I186" s="8">
        <f t="shared" si="10"/>
        <v>240</v>
      </c>
    </row>
    <row r="187" ht="14.25" spans="1:9">
      <c r="A187" s="20"/>
      <c r="B187" s="73" t="s">
        <v>32</v>
      </c>
      <c r="C187" s="74"/>
      <c r="D187" s="75"/>
      <c r="E187" s="8"/>
      <c r="F187" s="8"/>
      <c r="G187" s="21"/>
      <c r="H187" s="25"/>
      <c r="I187" s="8"/>
    </row>
    <row r="188" ht="14.25" spans="1:9">
      <c r="A188" s="9" t="s">
        <v>123</v>
      </c>
      <c r="B188" s="64" t="s">
        <v>96</v>
      </c>
      <c r="C188" s="65"/>
      <c r="D188" s="66"/>
      <c r="E188" s="8" t="s">
        <v>13</v>
      </c>
      <c r="F188" s="8">
        <v>1.62</v>
      </c>
      <c r="G188" s="21">
        <v>1.43</v>
      </c>
      <c r="H188" s="22">
        <v>110</v>
      </c>
      <c r="I188" s="8">
        <f>G188*$H$188</f>
        <v>157.3</v>
      </c>
    </row>
    <row r="189" ht="14.25" spans="1:9">
      <c r="A189" s="13"/>
      <c r="B189" s="64" t="s">
        <v>124</v>
      </c>
      <c r="C189" s="65"/>
      <c r="D189" s="66"/>
      <c r="E189" s="8" t="s">
        <v>13</v>
      </c>
      <c r="F189" s="8">
        <v>1.65</v>
      </c>
      <c r="G189" s="21">
        <v>1.43</v>
      </c>
      <c r="H189" s="24"/>
      <c r="I189" s="8">
        <f t="shared" ref="I189:I213" si="11">G189*$H$188</f>
        <v>157.3</v>
      </c>
    </row>
    <row r="190" ht="14.25" spans="1:9">
      <c r="A190" s="13"/>
      <c r="B190" s="64" t="s">
        <v>96</v>
      </c>
      <c r="C190" s="65"/>
      <c r="D190" s="66"/>
      <c r="E190" s="8" t="s">
        <v>13</v>
      </c>
      <c r="F190" s="8">
        <v>1.62</v>
      </c>
      <c r="G190" s="21">
        <v>0.38</v>
      </c>
      <c r="H190" s="24"/>
      <c r="I190" s="8">
        <f t="shared" si="11"/>
        <v>41.8</v>
      </c>
    </row>
    <row r="191" ht="14.25" spans="1:9">
      <c r="A191" s="13"/>
      <c r="B191" s="64" t="s">
        <v>97</v>
      </c>
      <c r="C191" s="65"/>
      <c r="D191" s="66"/>
      <c r="E191" s="8" t="s">
        <v>13</v>
      </c>
      <c r="F191" s="8">
        <v>1.65</v>
      </c>
      <c r="G191" s="21">
        <v>0.38</v>
      </c>
      <c r="H191" s="24"/>
      <c r="I191" s="8">
        <f t="shared" si="11"/>
        <v>41.8</v>
      </c>
    </row>
    <row r="192" ht="14.25" spans="1:9">
      <c r="A192" s="13"/>
      <c r="B192" s="64" t="s">
        <v>98</v>
      </c>
      <c r="C192" s="65"/>
      <c r="D192" s="66"/>
      <c r="E192" s="8" t="s">
        <v>13</v>
      </c>
      <c r="F192" s="8">
        <v>1.68</v>
      </c>
      <c r="G192" s="21">
        <v>0.38</v>
      </c>
      <c r="H192" s="24"/>
      <c r="I192" s="8">
        <f t="shared" si="11"/>
        <v>41.8</v>
      </c>
    </row>
    <row r="193" ht="14.25" spans="1:9">
      <c r="A193" s="13"/>
      <c r="B193" s="64" t="s">
        <v>125</v>
      </c>
      <c r="C193" s="65"/>
      <c r="D193" s="66"/>
      <c r="E193" s="8" t="s">
        <v>13</v>
      </c>
      <c r="F193" s="8">
        <v>1.6</v>
      </c>
      <c r="G193" s="21">
        <v>0.06</v>
      </c>
      <c r="H193" s="24"/>
      <c r="I193" s="8">
        <f t="shared" si="11"/>
        <v>6.6</v>
      </c>
    </row>
    <row r="194" ht="14.25" spans="1:9">
      <c r="A194" s="13"/>
      <c r="B194" s="64" t="s">
        <v>97</v>
      </c>
      <c r="C194" s="65"/>
      <c r="D194" s="66"/>
      <c r="E194" s="8" t="s">
        <v>13</v>
      </c>
      <c r="F194" s="8">
        <v>1.63</v>
      </c>
      <c r="G194" s="21">
        <v>0.06</v>
      </c>
      <c r="H194" s="24"/>
      <c r="I194" s="8">
        <f t="shared" si="11"/>
        <v>6.6</v>
      </c>
    </row>
    <row r="195" ht="14.25" spans="1:9">
      <c r="A195" s="13"/>
      <c r="B195" s="64" t="s">
        <v>96</v>
      </c>
      <c r="C195" s="65"/>
      <c r="D195" s="66"/>
      <c r="E195" s="8" t="s">
        <v>13</v>
      </c>
      <c r="F195" s="8">
        <v>1.62</v>
      </c>
      <c r="G195" s="21">
        <v>0.93</v>
      </c>
      <c r="H195" s="24"/>
      <c r="I195" s="8">
        <f t="shared" si="11"/>
        <v>102.3</v>
      </c>
    </row>
    <row r="196" ht="14.25" spans="1:9">
      <c r="A196" s="13"/>
      <c r="B196" s="64" t="s">
        <v>99</v>
      </c>
      <c r="C196" s="65"/>
      <c r="D196" s="66"/>
      <c r="E196" s="8" t="s">
        <v>13</v>
      </c>
      <c r="F196" s="8">
        <v>1.65</v>
      </c>
      <c r="G196" s="21">
        <v>0.93</v>
      </c>
      <c r="H196" s="24"/>
      <c r="I196" s="8">
        <f t="shared" si="11"/>
        <v>102.3</v>
      </c>
    </row>
    <row r="197" ht="14.25" spans="1:9">
      <c r="A197" s="13"/>
      <c r="B197" s="64" t="s">
        <v>100</v>
      </c>
      <c r="C197" s="65"/>
      <c r="D197" s="66"/>
      <c r="E197" s="8" t="s">
        <v>13</v>
      </c>
      <c r="F197" s="8">
        <v>1.68</v>
      </c>
      <c r="G197" s="21">
        <v>0.93</v>
      </c>
      <c r="H197" s="24"/>
      <c r="I197" s="8">
        <f t="shared" si="11"/>
        <v>102.3</v>
      </c>
    </row>
    <row r="198" ht="14.25" spans="1:9">
      <c r="A198" s="13"/>
      <c r="B198" s="64" t="s">
        <v>101</v>
      </c>
      <c r="C198" s="65"/>
      <c r="D198" s="66"/>
      <c r="E198" s="8" t="s">
        <v>13</v>
      </c>
      <c r="F198" s="8">
        <v>1.8</v>
      </c>
      <c r="G198" s="21">
        <v>1.8</v>
      </c>
      <c r="H198" s="24"/>
      <c r="I198" s="8">
        <f t="shared" si="11"/>
        <v>198</v>
      </c>
    </row>
    <row r="199" ht="14.25" spans="1:9">
      <c r="A199" s="13"/>
      <c r="B199" s="73" t="s">
        <v>102</v>
      </c>
      <c r="C199" s="74"/>
      <c r="D199" s="75"/>
      <c r="E199" s="8" t="s">
        <v>13</v>
      </c>
      <c r="F199" s="8">
        <v>1.83</v>
      </c>
      <c r="G199" s="21">
        <v>1.8</v>
      </c>
      <c r="H199" s="24"/>
      <c r="I199" s="8">
        <f t="shared" si="11"/>
        <v>198</v>
      </c>
    </row>
    <row r="200" ht="14.25" spans="1:9">
      <c r="A200" s="13"/>
      <c r="B200" s="64" t="s">
        <v>103</v>
      </c>
      <c r="C200" s="65"/>
      <c r="D200" s="66"/>
      <c r="E200" s="8" t="s">
        <v>13</v>
      </c>
      <c r="F200" s="8">
        <v>1.15</v>
      </c>
      <c r="G200" s="21">
        <v>1.9</v>
      </c>
      <c r="H200" s="24"/>
      <c r="I200" s="8">
        <f t="shared" si="11"/>
        <v>209</v>
      </c>
    </row>
    <row r="201" ht="14.25" spans="1:9">
      <c r="A201" s="13"/>
      <c r="B201" s="64" t="s">
        <v>104</v>
      </c>
      <c r="C201" s="65"/>
      <c r="D201" s="66"/>
      <c r="E201" s="8" t="s">
        <v>13</v>
      </c>
      <c r="F201" s="8">
        <v>1.7</v>
      </c>
      <c r="G201" s="21">
        <v>0.52</v>
      </c>
      <c r="H201" s="24"/>
      <c r="I201" s="8">
        <f t="shared" si="11"/>
        <v>57.2</v>
      </c>
    </row>
    <row r="202" ht="14.25" spans="1:9">
      <c r="A202" s="13"/>
      <c r="B202" s="64" t="s">
        <v>105</v>
      </c>
      <c r="C202" s="65"/>
      <c r="D202" s="66"/>
      <c r="E202" s="8" t="s">
        <v>13</v>
      </c>
      <c r="F202" s="8">
        <v>1.6</v>
      </c>
      <c r="G202" s="21">
        <v>0.6</v>
      </c>
      <c r="H202" s="24"/>
      <c r="I202" s="8">
        <f t="shared" si="11"/>
        <v>66</v>
      </c>
    </row>
    <row r="203" ht="14.25" spans="1:9">
      <c r="A203" s="13"/>
      <c r="B203" s="64" t="s">
        <v>126</v>
      </c>
      <c r="C203" s="65"/>
      <c r="D203" s="66"/>
      <c r="E203" s="8" t="s">
        <v>13</v>
      </c>
      <c r="F203" s="8" t="s">
        <v>54</v>
      </c>
      <c r="G203" s="21">
        <v>6.1</v>
      </c>
      <c r="H203" s="24"/>
      <c r="I203" s="8">
        <f t="shared" si="11"/>
        <v>671</v>
      </c>
    </row>
    <row r="204" ht="14.25" spans="1:9">
      <c r="A204" s="13"/>
      <c r="B204" s="73" t="s">
        <v>107</v>
      </c>
      <c r="C204" s="74"/>
      <c r="D204" s="75"/>
      <c r="E204" s="8" t="s">
        <v>13</v>
      </c>
      <c r="F204" s="8" t="s">
        <v>54</v>
      </c>
      <c r="G204" s="21">
        <v>6.1</v>
      </c>
      <c r="H204" s="24"/>
      <c r="I204" s="8">
        <f t="shared" si="11"/>
        <v>671</v>
      </c>
    </row>
    <row r="205" ht="14.25" spans="1:9">
      <c r="A205" s="13"/>
      <c r="B205" s="64" t="s">
        <v>108</v>
      </c>
      <c r="C205" s="65"/>
      <c r="D205" s="65"/>
      <c r="E205" s="8" t="s">
        <v>13</v>
      </c>
      <c r="F205" s="8" t="s">
        <v>109</v>
      </c>
      <c r="G205" s="21">
        <v>34</v>
      </c>
      <c r="H205" s="24"/>
      <c r="I205" s="8">
        <f t="shared" si="11"/>
        <v>3740</v>
      </c>
    </row>
    <row r="206" ht="14.25" spans="1:9">
      <c r="A206" s="13"/>
      <c r="B206" s="64" t="s">
        <v>110</v>
      </c>
      <c r="C206" s="65"/>
      <c r="D206" s="65"/>
      <c r="E206" s="8" t="s">
        <v>60</v>
      </c>
      <c r="F206" s="8" t="s">
        <v>54</v>
      </c>
      <c r="G206" s="21">
        <v>6</v>
      </c>
      <c r="H206" s="24"/>
      <c r="I206" s="8">
        <f t="shared" si="11"/>
        <v>660</v>
      </c>
    </row>
    <row r="207" ht="14.25" spans="1:9">
      <c r="A207" s="13"/>
      <c r="B207" s="64" t="s">
        <v>111</v>
      </c>
      <c r="C207" s="65"/>
      <c r="D207" s="65"/>
      <c r="E207" s="8" t="s">
        <v>53</v>
      </c>
      <c r="F207" s="8" t="s">
        <v>54</v>
      </c>
      <c r="G207" s="21">
        <v>1</v>
      </c>
      <c r="H207" s="24"/>
      <c r="I207" s="8">
        <f t="shared" si="11"/>
        <v>110</v>
      </c>
    </row>
    <row r="208" ht="14.25" spans="1:9">
      <c r="A208" s="13"/>
      <c r="B208" s="64" t="s">
        <v>112</v>
      </c>
      <c r="C208" s="65"/>
      <c r="D208" s="65"/>
      <c r="E208" s="8" t="s">
        <v>113</v>
      </c>
      <c r="F208" s="8" t="s">
        <v>54</v>
      </c>
      <c r="G208" s="21">
        <v>2</v>
      </c>
      <c r="H208" s="24"/>
      <c r="I208" s="8">
        <f t="shared" si="11"/>
        <v>220</v>
      </c>
    </row>
    <row r="209" ht="14.25" spans="1:9">
      <c r="A209" s="13"/>
      <c r="B209" s="64" t="s">
        <v>114</v>
      </c>
      <c r="C209" s="65"/>
      <c r="D209" s="65"/>
      <c r="E209" s="8" t="s">
        <v>13</v>
      </c>
      <c r="F209" s="8" t="s">
        <v>54</v>
      </c>
      <c r="G209" s="21">
        <v>1</v>
      </c>
      <c r="H209" s="24"/>
      <c r="I209" s="8">
        <f t="shared" si="11"/>
        <v>110</v>
      </c>
    </row>
    <row r="210" ht="14.25" spans="1:9">
      <c r="A210" s="13"/>
      <c r="B210" s="64" t="s">
        <v>115</v>
      </c>
      <c r="C210" s="65"/>
      <c r="D210" s="65"/>
      <c r="E210" s="8" t="s">
        <v>19</v>
      </c>
      <c r="F210" s="8" t="s">
        <v>54</v>
      </c>
      <c r="G210" s="21">
        <v>4</v>
      </c>
      <c r="H210" s="24"/>
      <c r="I210" s="8">
        <f t="shared" si="11"/>
        <v>440</v>
      </c>
    </row>
    <row r="211" ht="14.25" spans="1:9">
      <c r="A211" s="13"/>
      <c r="B211" s="64" t="s">
        <v>116</v>
      </c>
      <c r="C211" s="65"/>
      <c r="D211" s="65"/>
      <c r="E211" s="8" t="s">
        <v>13</v>
      </c>
      <c r="F211" s="8" t="s">
        <v>117</v>
      </c>
      <c r="G211" s="21">
        <v>9</v>
      </c>
      <c r="H211" s="24"/>
      <c r="I211" s="8">
        <f t="shared" si="11"/>
        <v>990</v>
      </c>
    </row>
    <row r="212" ht="14.25" spans="1:9">
      <c r="A212" s="13"/>
      <c r="B212" s="64" t="s">
        <v>118</v>
      </c>
      <c r="C212" s="65"/>
      <c r="D212" s="65"/>
      <c r="E212" s="8" t="s">
        <v>13</v>
      </c>
      <c r="F212" s="8" t="s">
        <v>119</v>
      </c>
      <c r="G212" s="21">
        <v>1</v>
      </c>
      <c r="H212" s="24"/>
      <c r="I212" s="8">
        <f t="shared" si="11"/>
        <v>110</v>
      </c>
    </row>
    <row r="213" ht="14.25" spans="1:9">
      <c r="A213" s="13"/>
      <c r="B213" s="69" t="s">
        <v>48</v>
      </c>
      <c r="C213" s="70"/>
      <c r="D213" s="70"/>
      <c r="E213" s="8" t="s">
        <v>49</v>
      </c>
      <c r="F213" s="8" t="s">
        <v>69</v>
      </c>
      <c r="G213" s="21">
        <v>2</v>
      </c>
      <c r="H213" s="24"/>
      <c r="I213" s="8">
        <f t="shared" si="11"/>
        <v>220</v>
      </c>
    </row>
    <row r="214" ht="14.25" spans="1:9">
      <c r="A214" s="20"/>
      <c r="B214" s="73" t="s">
        <v>32</v>
      </c>
      <c r="C214" s="74"/>
      <c r="D214" s="75"/>
      <c r="E214" s="8"/>
      <c r="F214" s="8"/>
      <c r="G214" s="21"/>
      <c r="H214" s="25"/>
      <c r="I214" s="8"/>
    </row>
    <row r="215" ht="14.25" spans="1:9">
      <c r="A215" s="9" t="s">
        <v>127</v>
      </c>
      <c r="B215" s="64" t="s">
        <v>96</v>
      </c>
      <c r="C215" s="65"/>
      <c r="D215" s="66"/>
      <c r="E215" s="8" t="s">
        <v>13</v>
      </c>
      <c r="F215" s="8">
        <v>1.62</v>
      </c>
      <c r="G215" s="21">
        <v>1.43</v>
      </c>
      <c r="H215" s="22">
        <v>90</v>
      </c>
      <c r="I215" s="8">
        <f>G215*$H$215</f>
        <v>128.7</v>
      </c>
    </row>
    <row r="216" ht="14.25" spans="1:9">
      <c r="A216" s="13"/>
      <c r="B216" s="64" t="s">
        <v>97</v>
      </c>
      <c r="C216" s="65"/>
      <c r="D216" s="66"/>
      <c r="E216" s="8" t="s">
        <v>13</v>
      </c>
      <c r="F216" s="8">
        <v>1.65</v>
      </c>
      <c r="G216" s="21">
        <v>1.43</v>
      </c>
      <c r="H216" s="24"/>
      <c r="I216" s="8">
        <f t="shared" ref="I216:I240" si="12">G216*$H$215</f>
        <v>128.7</v>
      </c>
    </row>
    <row r="217" ht="14.25" spans="1:9">
      <c r="A217" s="13"/>
      <c r="B217" s="64" t="s">
        <v>96</v>
      </c>
      <c r="C217" s="65"/>
      <c r="D217" s="66"/>
      <c r="E217" s="8" t="s">
        <v>13</v>
      </c>
      <c r="F217" s="8">
        <v>1.62</v>
      </c>
      <c r="G217" s="21">
        <v>0.38</v>
      </c>
      <c r="H217" s="24"/>
      <c r="I217" s="8">
        <f t="shared" si="12"/>
        <v>34.2</v>
      </c>
    </row>
    <row r="218" ht="14.25" spans="1:9">
      <c r="A218" s="13"/>
      <c r="B218" s="64" t="s">
        <v>97</v>
      </c>
      <c r="C218" s="65"/>
      <c r="D218" s="66"/>
      <c r="E218" s="8" t="s">
        <v>13</v>
      </c>
      <c r="F218" s="8">
        <v>1.65</v>
      </c>
      <c r="G218" s="21">
        <v>0.38</v>
      </c>
      <c r="H218" s="24"/>
      <c r="I218" s="8">
        <f t="shared" si="12"/>
        <v>34.2</v>
      </c>
    </row>
    <row r="219" ht="14.25" spans="1:9">
      <c r="A219" s="13"/>
      <c r="B219" s="64" t="s">
        <v>98</v>
      </c>
      <c r="C219" s="65"/>
      <c r="D219" s="66"/>
      <c r="E219" s="8" t="s">
        <v>13</v>
      </c>
      <c r="F219" s="8">
        <v>1.68</v>
      </c>
      <c r="G219" s="21">
        <v>0.38</v>
      </c>
      <c r="H219" s="24"/>
      <c r="I219" s="8">
        <f t="shared" si="12"/>
        <v>34.2</v>
      </c>
    </row>
    <row r="220" ht="14.25" spans="1:9">
      <c r="A220" s="13"/>
      <c r="B220" s="64" t="s">
        <v>128</v>
      </c>
      <c r="C220" s="65"/>
      <c r="D220" s="66"/>
      <c r="E220" s="8" t="s">
        <v>13</v>
      </c>
      <c r="F220" s="8">
        <v>1.62</v>
      </c>
      <c r="G220" s="21">
        <v>0.06</v>
      </c>
      <c r="H220" s="24"/>
      <c r="I220" s="8">
        <f t="shared" si="12"/>
        <v>5.4</v>
      </c>
    </row>
    <row r="221" ht="14.25" spans="1:9">
      <c r="A221" s="13"/>
      <c r="B221" s="64" t="s">
        <v>97</v>
      </c>
      <c r="C221" s="65"/>
      <c r="D221" s="66"/>
      <c r="E221" s="8" t="s">
        <v>13</v>
      </c>
      <c r="F221" s="8">
        <v>1.65</v>
      </c>
      <c r="G221" s="21">
        <v>0.06</v>
      </c>
      <c r="H221" s="24"/>
      <c r="I221" s="8">
        <f t="shared" si="12"/>
        <v>5.4</v>
      </c>
    </row>
    <row r="222" ht="14.25" spans="1:9">
      <c r="A222" s="13"/>
      <c r="B222" s="64" t="s">
        <v>96</v>
      </c>
      <c r="C222" s="65"/>
      <c r="D222" s="66"/>
      <c r="E222" s="8" t="s">
        <v>13</v>
      </c>
      <c r="F222" s="8">
        <v>1.62</v>
      </c>
      <c r="G222" s="21">
        <v>0.93</v>
      </c>
      <c r="H222" s="24"/>
      <c r="I222" s="8">
        <f t="shared" si="12"/>
        <v>83.7</v>
      </c>
    </row>
    <row r="223" ht="14.25" spans="1:9">
      <c r="A223" s="13"/>
      <c r="B223" s="64" t="s">
        <v>99</v>
      </c>
      <c r="C223" s="65"/>
      <c r="D223" s="66"/>
      <c r="E223" s="8" t="s">
        <v>13</v>
      </c>
      <c r="F223" s="8">
        <v>1.65</v>
      </c>
      <c r="G223" s="21">
        <v>0.93</v>
      </c>
      <c r="H223" s="24"/>
      <c r="I223" s="8">
        <f t="shared" si="12"/>
        <v>83.7</v>
      </c>
    </row>
    <row r="224" ht="14.25" spans="1:9">
      <c r="A224" s="13"/>
      <c r="B224" s="64" t="s">
        <v>100</v>
      </c>
      <c r="C224" s="65"/>
      <c r="D224" s="66"/>
      <c r="E224" s="8" t="s">
        <v>13</v>
      </c>
      <c r="F224" s="8">
        <v>1.68</v>
      </c>
      <c r="G224" s="21">
        <v>0.93</v>
      </c>
      <c r="H224" s="24"/>
      <c r="I224" s="8">
        <f t="shared" si="12"/>
        <v>83.7</v>
      </c>
    </row>
    <row r="225" ht="14.25" spans="1:9">
      <c r="A225" s="13"/>
      <c r="B225" s="64" t="s">
        <v>101</v>
      </c>
      <c r="C225" s="65"/>
      <c r="D225" s="66"/>
      <c r="E225" s="8" t="s">
        <v>13</v>
      </c>
      <c r="F225" s="8">
        <v>1.8</v>
      </c>
      <c r="G225" s="21">
        <v>1.8</v>
      </c>
      <c r="H225" s="24"/>
      <c r="I225" s="8">
        <f t="shared" si="12"/>
        <v>162</v>
      </c>
    </row>
    <row r="226" ht="14.25" spans="1:9">
      <c r="A226" s="13"/>
      <c r="B226" s="73" t="s">
        <v>129</v>
      </c>
      <c r="C226" s="74"/>
      <c r="D226" s="75"/>
      <c r="E226" s="8" t="s">
        <v>13</v>
      </c>
      <c r="F226" s="8">
        <v>1.83</v>
      </c>
      <c r="G226" s="21">
        <v>1.8</v>
      </c>
      <c r="H226" s="24"/>
      <c r="I226" s="8">
        <f t="shared" si="12"/>
        <v>162</v>
      </c>
    </row>
    <row r="227" ht="14.25" spans="1:9">
      <c r="A227" s="13"/>
      <c r="B227" s="64" t="s">
        <v>103</v>
      </c>
      <c r="C227" s="65"/>
      <c r="D227" s="66"/>
      <c r="E227" s="8" t="s">
        <v>13</v>
      </c>
      <c r="F227" s="8">
        <v>1.15</v>
      </c>
      <c r="G227" s="21">
        <v>1.9</v>
      </c>
      <c r="H227" s="24"/>
      <c r="I227" s="8">
        <f t="shared" si="12"/>
        <v>171</v>
      </c>
    </row>
    <row r="228" ht="14.25" spans="1:9">
      <c r="A228" s="13"/>
      <c r="B228" s="64" t="s">
        <v>104</v>
      </c>
      <c r="C228" s="65"/>
      <c r="D228" s="66"/>
      <c r="E228" s="8" t="s">
        <v>13</v>
      </c>
      <c r="F228" s="8">
        <v>1.7</v>
      </c>
      <c r="G228" s="21">
        <v>0.52</v>
      </c>
      <c r="H228" s="24"/>
      <c r="I228" s="8">
        <f t="shared" si="12"/>
        <v>46.8</v>
      </c>
    </row>
    <row r="229" ht="14.25" spans="1:9">
      <c r="A229" s="13"/>
      <c r="B229" s="64" t="s">
        <v>105</v>
      </c>
      <c r="C229" s="65"/>
      <c r="D229" s="66"/>
      <c r="E229" s="8" t="s">
        <v>13</v>
      </c>
      <c r="F229" s="8">
        <v>1.6</v>
      </c>
      <c r="G229" s="21">
        <v>0.6</v>
      </c>
      <c r="H229" s="24"/>
      <c r="I229" s="8">
        <f t="shared" si="12"/>
        <v>54</v>
      </c>
    </row>
    <row r="230" ht="14.25" spans="1:9">
      <c r="A230" s="13"/>
      <c r="B230" s="64" t="s">
        <v>130</v>
      </c>
      <c r="C230" s="65"/>
      <c r="D230" s="66"/>
      <c r="E230" s="8" t="s">
        <v>13</v>
      </c>
      <c r="F230" s="8" t="s">
        <v>54</v>
      </c>
      <c r="G230" s="21">
        <v>6.1</v>
      </c>
      <c r="H230" s="24"/>
      <c r="I230" s="8">
        <f t="shared" si="12"/>
        <v>549</v>
      </c>
    </row>
    <row r="231" ht="14.25" spans="1:9">
      <c r="A231" s="13"/>
      <c r="B231" s="73" t="s">
        <v>107</v>
      </c>
      <c r="C231" s="74"/>
      <c r="D231" s="75"/>
      <c r="E231" s="8" t="s">
        <v>13</v>
      </c>
      <c r="F231" s="8" t="s">
        <v>54</v>
      </c>
      <c r="G231" s="21">
        <v>6.1</v>
      </c>
      <c r="H231" s="24"/>
      <c r="I231" s="8">
        <f t="shared" si="12"/>
        <v>549</v>
      </c>
    </row>
    <row r="232" ht="14.25" spans="1:9">
      <c r="A232" s="13"/>
      <c r="B232" s="64" t="s">
        <v>108</v>
      </c>
      <c r="C232" s="65"/>
      <c r="D232" s="65"/>
      <c r="E232" s="8" t="s">
        <v>13</v>
      </c>
      <c r="F232" s="8" t="s">
        <v>109</v>
      </c>
      <c r="G232" s="21">
        <v>34</v>
      </c>
      <c r="H232" s="24"/>
      <c r="I232" s="8">
        <f t="shared" si="12"/>
        <v>3060</v>
      </c>
    </row>
    <row r="233" ht="14.25" spans="1:9">
      <c r="A233" s="13"/>
      <c r="B233" s="64" t="s">
        <v>110</v>
      </c>
      <c r="C233" s="65"/>
      <c r="D233" s="65"/>
      <c r="E233" s="8" t="s">
        <v>60</v>
      </c>
      <c r="F233" s="8" t="s">
        <v>54</v>
      </c>
      <c r="G233" s="21">
        <v>6</v>
      </c>
      <c r="H233" s="24"/>
      <c r="I233" s="8">
        <f t="shared" si="12"/>
        <v>540</v>
      </c>
    </row>
    <row r="234" ht="14.25" spans="1:9">
      <c r="A234" s="13"/>
      <c r="B234" s="64" t="s">
        <v>111</v>
      </c>
      <c r="C234" s="65"/>
      <c r="D234" s="65"/>
      <c r="E234" s="8" t="s">
        <v>53</v>
      </c>
      <c r="F234" s="8" t="s">
        <v>54</v>
      </c>
      <c r="G234" s="21">
        <v>1</v>
      </c>
      <c r="H234" s="24"/>
      <c r="I234" s="8">
        <f t="shared" si="12"/>
        <v>90</v>
      </c>
    </row>
    <row r="235" ht="14.25" spans="1:9">
      <c r="A235" s="13"/>
      <c r="B235" s="64" t="s">
        <v>112</v>
      </c>
      <c r="C235" s="65"/>
      <c r="D235" s="65"/>
      <c r="E235" s="8" t="s">
        <v>113</v>
      </c>
      <c r="F235" s="8" t="s">
        <v>54</v>
      </c>
      <c r="G235" s="21">
        <v>2</v>
      </c>
      <c r="H235" s="24"/>
      <c r="I235" s="8">
        <f t="shared" si="12"/>
        <v>180</v>
      </c>
    </row>
    <row r="236" ht="14.25" spans="1:9">
      <c r="A236" s="13"/>
      <c r="B236" s="64" t="s">
        <v>114</v>
      </c>
      <c r="C236" s="65"/>
      <c r="D236" s="65"/>
      <c r="E236" s="8" t="s">
        <v>13</v>
      </c>
      <c r="F236" s="8" t="s">
        <v>54</v>
      </c>
      <c r="G236" s="21">
        <v>1</v>
      </c>
      <c r="H236" s="24"/>
      <c r="I236" s="8">
        <f t="shared" si="12"/>
        <v>90</v>
      </c>
    </row>
    <row r="237" ht="14.25" spans="1:9">
      <c r="A237" s="13"/>
      <c r="B237" s="64" t="s">
        <v>115</v>
      </c>
      <c r="C237" s="65"/>
      <c r="D237" s="65"/>
      <c r="E237" s="8" t="s">
        <v>19</v>
      </c>
      <c r="F237" s="8" t="s">
        <v>54</v>
      </c>
      <c r="G237" s="21">
        <v>4</v>
      </c>
      <c r="H237" s="24"/>
      <c r="I237" s="8">
        <f t="shared" si="12"/>
        <v>360</v>
      </c>
    </row>
    <row r="238" ht="14.25" spans="1:9">
      <c r="A238" s="13"/>
      <c r="B238" s="64" t="s">
        <v>116</v>
      </c>
      <c r="C238" s="65"/>
      <c r="D238" s="65"/>
      <c r="E238" s="8" t="s">
        <v>13</v>
      </c>
      <c r="F238" s="8" t="s">
        <v>117</v>
      </c>
      <c r="G238" s="21">
        <v>9</v>
      </c>
      <c r="H238" s="24"/>
      <c r="I238" s="8">
        <f t="shared" si="12"/>
        <v>810</v>
      </c>
    </row>
    <row r="239" ht="14.25" spans="1:9">
      <c r="A239" s="13"/>
      <c r="B239" s="64" t="s">
        <v>118</v>
      </c>
      <c r="C239" s="65"/>
      <c r="D239" s="65"/>
      <c r="E239" s="8" t="s">
        <v>13</v>
      </c>
      <c r="F239" s="8" t="s">
        <v>119</v>
      </c>
      <c r="G239" s="21">
        <v>1</v>
      </c>
      <c r="H239" s="24"/>
      <c r="I239" s="8">
        <f t="shared" si="12"/>
        <v>90</v>
      </c>
    </row>
    <row r="240" ht="14.25" spans="1:9">
      <c r="A240" s="13"/>
      <c r="B240" s="69" t="s">
        <v>48</v>
      </c>
      <c r="C240" s="70"/>
      <c r="D240" s="70"/>
      <c r="E240" s="8" t="s">
        <v>49</v>
      </c>
      <c r="F240" s="8" t="s">
        <v>69</v>
      </c>
      <c r="G240" s="21">
        <v>2</v>
      </c>
      <c r="H240" s="24"/>
      <c r="I240" s="8">
        <f t="shared" si="12"/>
        <v>180</v>
      </c>
    </row>
    <row r="241" ht="14.25" spans="1:9">
      <c r="A241" s="20"/>
      <c r="B241" s="73" t="s">
        <v>32</v>
      </c>
      <c r="C241" s="74"/>
      <c r="D241" s="75"/>
      <c r="E241" s="8"/>
      <c r="F241" s="8"/>
      <c r="G241" s="21"/>
      <c r="H241" s="25"/>
      <c r="I241" s="8"/>
    </row>
    <row r="242" ht="14.25" spans="1:9">
      <c r="A242" s="9" t="s">
        <v>131</v>
      </c>
      <c r="B242" s="64" t="s">
        <v>96</v>
      </c>
      <c r="C242" s="65"/>
      <c r="D242" s="66"/>
      <c r="E242" s="8" t="s">
        <v>13</v>
      </c>
      <c r="F242" s="8">
        <v>1.62</v>
      </c>
      <c r="G242" s="21">
        <v>1.43</v>
      </c>
      <c r="H242" s="22">
        <v>170</v>
      </c>
      <c r="I242" s="8">
        <f>G242*$H$242</f>
        <v>243.1</v>
      </c>
    </row>
    <row r="243" ht="14.25" spans="1:9">
      <c r="A243" s="13"/>
      <c r="B243" s="64" t="s">
        <v>97</v>
      </c>
      <c r="C243" s="65"/>
      <c r="D243" s="66"/>
      <c r="E243" s="8" t="s">
        <v>13</v>
      </c>
      <c r="F243" s="8">
        <v>1.65</v>
      </c>
      <c r="G243" s="21">
        <v>1.43</v>
      </c>
      <c r="H243" s="24"/>
      <c r="I243" s="8">
        <f t="shared" ref="I243:I267" si="13">G243*$H$242</f>
        <v>243.1</v>
      </c>
    </row>
    <row r="244" ht="14.25" spans="1:9">
      <c r="A244" s="13"/>
      <c r="B244" s="64" t="s">
        <v>96</v>
      </c>
      <c r="C244" s="65"/>
      <c r="D244" s="66"/>
      <c r="E244" s="8" t="s">
        <v>13</v>
      </c>
      <c r="F244" s="8">
        <v>1.62</v>
      </c>
      <c r="G244" s="21">
        <v>0.38</v>
      </c>
      <c r="H244" s="24"/>
      <c r="I244" s="8">
        <f t="shared" si="13"/>
        <v>64.6</v>
      </c>
    </row>
    <row r="245" ht="14.25" spans="1:9">
      <c r="A245" s="13"/>
      <c r="B245" s="64" t="s">
        <v>97</v>
      </c>
      <c r="C245" s="65"/>
      <c r="D245" s="66"/>
      <c r="E245" s="8" t="s">
        <v>13</v>
      </c>
      <c r="F245" s="8">
        <v>1.65</v>
      </c>
      <c r="G245" s="21">
        <v>0.38</v>
      </c>
      <c r="H245" s="24"/>
      <c r="I245" s="8">
        <f t="shared" si="13"/>
        <v>64.6</v>
      </c>
    </row>
    <row r="246" ht="14.25" spans="1:9">
      <c r="A246" s="13"/>
      <c r="B246" s="64" t="s">
        <v>98</v>
      </c>
      <c r="C246" s="65"/>
      <c r="D246" s="66"/>
      <c r="E246" s="8" t="s">
        <v>13</v>
      </c>
      <c r="F246" s="8">
        <v>1.68</v>
      </c>
      <c r="G246" s="21">
        <v>0.38</v>
      </c>
      <c r="H246" s="24"/>
      <c r="I246" s="8">
        <f t="shared" si="13"/>
        <v>64.6</v>
      </c>
    </row>
    <row r="247" ht="14.25" spans="1:9">
      <c r="A247" s="13"/>
      <c r="B247" s="64" t="s">
        <v>132</v>
      </c>
      <c r="C247" s="65"/>
      <c r="D247" s="66"/>
      <c r="E247" s="8" t="s">
        <v>13</v>
      </c>
      <c r="F247" s="8">
        <v>1.62</v>
      </c>
      <c r="G247" s="21">
        <v>0.06</v>
      </c>
      <c r="H247" s="24"/>
      <c r="I247" s="8">
        <f t="shared" si="13"/>
        <v>10.2</v>
      </c>
    </row>
    <row r="248" ht="14.25" spans="1:9">
      <c r="A248" s="13"/>
      <c r="B248" s="64" t="s">
        <v>97</v>
      </c>
      <c r="C248" s="65"/>
      <c r="D248" s="66"/>
      <c r="E248" s="8" t="s">
        <v>13</v>
      </c>
      <c r="F248" s="8">
        <v>1.65</v>
      </c>
      <c r="G248" s="21">
        <v>0.06</v>
      </c>
      <c r="H248" s="24"/>
      <c r="I248" s="8">
        <f t="shared" si="13"/>
        <v>10.2</v>
      </c>
    </row>
    <row r="249" ht="14.25" spans="1:9">
      <c r="A249" s="13"/>
      <c r="B249" s="64" t="s">
        <v>96</v>
      </c>
      <c r="C249" s="65"/>
      <c r="D249" s="66"/>
      <c r="E249" s="8" t="s">
        <v>13</v>
      </c>
      <c r="F249" s="8">
        <v>1.62</v>
      </c>
      <c r="G249" s="21">
        <v>0.93</v>
      </c>
      <c r="H249" s="24"/>
      <c r="I249" s="8">
        <f t="shared" si="13"/>
        <v>158.1</v>
      </c>
    </row>
    <row r="250" ht="14.25" spans="1:9">
      <c r="A250" s="13"/>
      <c r="B250" s="64" t="s">
        <v>99</v>
      </c>
      <c r="C250" s="65"/>
      <c r="D250" s="66"/>
      <c r="E250" s="8" t="s">
        <v>13</v>
      </c>
      <c r="F250" s="8">
        <v>1.65</v>
      </c>
      <c r="G250" s="21">
        <v>0.93</v>
      </c>
      <c r="H250" s="24"/>
      <c r="I250" s="8">
        <f t="shared" si="13"/>
        <v>158.1</v>
      </c>
    </row>
    <row r="251" ht="14.25" spans="1:9">
      <c r="A251" s="13"/>
      <c r="B251" s="64" t="s">
        <v>100</v>
      </c>
      <c r="C251" s="65"/>
      <c r="D251" s="66"/>
      <c r="E251" s="8" t="s">
        <v>13</v>
      </c>
      <c r="F251" s="8">
        <v>1.68</v>
      </c>
      <c r="G251" s="21">
        <v>0.93</v>
      </c>
      <c r="H251" s="24"/>
      <c r="I251" s="8">
        <f t="shared" si="13"/>
        <v>158.1</v>
      </c>
    </row>
    <row r="252" ht="14.25" spans="1:9">
      <c r="A252" s="13"/>
      <c r="B252" s="64" t="s">
        <v>101</v>
      </c>
      <c r="C252" s="65"/>
      <c r="D252" s="66"/>
      <c r="E252" s="8" t="s">
        <v>13</v>
      </c>
      <c r="F252" s="8">
        <v>1.8</v>
      </c>
      <c r="G252" s="21">
        <v>1.8</v>
      </c>
      <c r="H252" s="24"/>
      <c r="I252" s="8">
        <f t="shared" si="13"/>
        <v>306</v>
      </c>
    </row>
    <row r="253" ht="14.25" spans="1:9">
      <c r="A253" s="13"/>
      <c r="B253" s="73" t="s">
        <v>102</v>
      </c>
      <c r="C253" s="74"/>
      <c r="D253" s="75"/>
      <c r="E253" s="8" t="s">
        <v>13</v>
      </c>
      <c r="F253" s="8">
        <v>1.83</v>
      </c>
      <c r="G253" s="21">
        <v>1.8</v>
      </c>
      <c r="H253" s="24"/>
      <c r="I253" s="8">
        <f t="shared" si="13"/>
        <v>306</v>
      </c>
    </row>
    <row r="254" ht="14.25" spans="1:9">
      <c r="A254" s="13"/>
      <c r="B254" s="64" t="s">
        <v>103</v>
      </c>
      <c r="C254" s="65"/>
      <c r="D254" s="66"/>
      <c r="E254" s="8" t="s">
        <v>13</v>
      </c>
      <c r="F254" s="8">
        <v>1.15</v>
      </c>
      <c r="G254" s="21">
        <v>1.9</v>
      </c>
      <c r="H254" s="24"/>
      <c r="I254" s="8">
        <f t="shared" si="13"/>
        <v>323</v>
      </c>
    </row>
    <row r="255" ht="14.25" spans="1:9">
      <c r="A255" s="13"/>
      <c r="B255" s="64" t="s">
        <v>104</v>
      </c>
      <c r="C255" s="65"/>
      <c r="D255" s="66"/>
      <c r="E255" s="8" t="s">
        <v>13</v>
      </c>
      <c r="F255" s="8">
        <v>1.7</v>
      </c>
      <c r="G255" s="21">
        <v>0.52</v>
      </c>
      <c r="H255" s="24"/>
      <c r="I255" s="8">
        <f t="shared" si="13"/>
        <v>88.4</v>
      </c>
    </row>
    <row r="256" ht="14.25" spans="1:9">
      <c r="A256" s="13"/>
      <c r="B256" s="64" t="s">
        <v>105</v>
      </c>
      <c r="C256" s="65"/>
      <c r="D256" s="66"/>
      <c r="E256" s="8" t="s">
        <v>13</v>
      </c>
      <c r="F256" s="8">
        <v>1.6</v>
      </c>
      <c r="G256" s="21">
        <v>0.6</v>
      </c>
      <c r="H256" s="24"/>
      <c r="I256" s="8">
        <f t="shared" si="13"/>
        <v>102</v>
      </c>
    </row>
    <row r="257" ht="14.25" spans="1:9">
      <c r="A257" s="13"/>
      <c r="B257" s="64" t="s">
        <v>133</v>
      </c>
      <c r="C257" s="65"/>
      <c r="D257" s="66"/>
      <c r="E257" s="8" t="s">
        <v>13</v>
      </c>
      <c r="F257" s="8" t="s">
        <v>54</v>
      </c>
      <c r="G257" s="21">
        <v>6.1</v>
      </c>
      <c r="H257" s="24"/>
      <c r="I257" s="8">
        <f t="shared" si="13"/>
        <v>1037</v>
      </c>
    </row>
    <row r="258" ht="14.25" spans="1:9">
      <c r="A258" s="13"/>
      <c r="B258" s="73" t="s">
        <v>107</v>
      </c>
      <c r="C258" s="74"/>
      <c r="D258" s="75"/>
      <c r="E258" s="8" t="s">
        <v>13</v>
      </c>
      <c r="F258" s="8" t="s">
        <v>54</v>
      </c>
      <c r="G258" s="21">
        <v>6.1</v>
      </c>
      <c r="H258" s="24"/>
      <c r="I258" s="8">
        <f t="shared" si="13"/>
        <v>1037</v>
      </c>
    </row>
    <row r="259" ht="14.25" spans="1:9">
      <c r="A259" s="13"/>
      <c r="B259" s="64" t="s">
        <v>108</v>
      </c>
      <c r="C259" s="65"/>
      <c r="D259" s="65"/>
      <c r="E259" s="8" t="s">
        <v>13</v>
      </c>
      <c r="F259" s="8" t="s">
        <v>109</v>
      </c>
      <c r="G259" s="21">
        <v>34</v>
      </c>
      <c r="H259" s="24"/>
      <c r="I259" s="8">
        <f t="shared" si="13"/>
        <v>5780</v>
      </c>
    </row>
    <row r="260" ht="14.25" spans="1:9">
      <c r="A260" s="13"/>
      <c r="B260" s="64" t="s">
        <v>110</v>
      </c>
      <c r="C260" s="65"/>
      <c r="D260" s="65"/>
      <c r="E260" s="8" t="s">
        <v>60</v>
      </c>
      <c r="F260" s="8" t="s">
        <v>54</v>
      </c>
      <c r="G260" s="21">
        <v>6</v>
      </c>
      <c r="H260" s="24"/>
      <c r="I260" s="8">
        <f t="shared" si="13"/>
        <v>1020</v>
      </c>
    </row>
    <row r="261" ht="14.25" spans="1:9">
      <c r="A261" s="13"/>
      <c r="B261" s="64" t="s">
        <v>111</v>
      </c>
      <c r="C261" s="65"/>
      <c r="D261" s="65"/>
      <c r="E261" s="8" t="s">
        <v>53</v>
      </c>
      <c r="F261" s="8" t="s">
        <v>54</v>
      </c>
      <c r="G261" s="21">
        <v>1</v>
      </c>
      <c r="H261" s="24"/>
      <c r="I261" s="8">
        <f t="shared" si="13"/>
        <v>170</v>
      </c>
    </row>
    <row r="262" ht="14.25" spans="1:9">
      <c r="A262" s="13"/>
      <c r="B262" s="64" t="s">
        <v>112</v>
      </c>
      <c r="C262" s="65"/>
      <c r="D262" s="65"/>
      <c r="E262" s="8" t="s">
        <v>113</v>
      </c>
      <c r="F262" s="8" t="s">
        <v>54</v>
      </c>
      <c r="G262" s="21">
        <v>2</v>
      </c>
      <c r="H262" s="24"/>
      <c r="I262" s="8">
        <f t="shared" si="13"/>
        <v>340</v>
      </c>
    </row>
    <row r="263" ht="14.25" spans="1:9">
      <c r="A263" s="13"/>
      <c r="B263" s="64" t="s">
        <v>114</v>
      </c>
      <c r="C263" s="65"/>
      <c r="D263" s="65"/>
      <c r="E263" s="8" t="s">
        <v>13</v>
      </c>
      <c r="F263" s="8" t="s">
        <v>54</v>
      </c>
      <c r="G263" s="21">
        <v>1</v>
      </c>
      <c r="H263" s="24"/>
      <c r="I263" s="8">
        <f t="shared" si="13"/>
        <v>170</v>
      </c>
    </row>
    <row r="264" ht="14.25" spans="1:9">
      <c r="A264" s="13"/>
      <c r="B264" s="64" t="s">
        <v>115</v>
      </c>
      <c r="C264" s="65"/>
      <c r="D264" s="65"/>
      <c r="E264" s="8" t="s">
        <v>19</v>
      </c>
      <c r="F264" s="8" t="s">
        <v>54</v>
      </c>
      <c r="G264" s="21">
        <v>4</v>
      </c>
      <c r="H264" s="24"/>
      <c r="I264" s="8">
        <f t="shared" si="13"/>
        <v>680</v>
      </c>
    </row>
    <row r="265" ht="14.25" spans="1:9">
      <c r="A265" s="13"/>
      <c r="B265" s="64" t="s">
        <v>116</v>
      </c>
      <c r="C265" s="65"/>
      <c r="D265" s="65"/>
      <c r="E265" s="8" t="s">
        <v>13</v>
      </c>
      <c r="F265" s="8" t="s">
        <v>117</v>
      </c>
      <c r="G265" s="21">
        <v>9</v>
      </c>
      <c r="H265" s="24"/>
      <c r="I265" s="8">
        <f t="shared" si="13"/>
        <v>1530</v>
      </c>
    </row>
    <row r="266" ht="14.25" spans="1:9">
      <c r="A266" s="13"/>
      <c r="B266" s="64" t="s">
        <v>118</v>
      </c>
      <c r="C266" s="65"/>
      <c r="D266" s="65"/>
      <c r="E266" s="8" t="s">
        <v>13</v>
      </c>
      <c r="F266" s="8" t="s">
        <v>119</v>
      </c>
      <c r="G266" s="21">
        <v>1</v>
      </c>
      <c r="H266" s="24"/>
      <c r="I266" s="8">
        <f t="shared" si="13"/>
        <v>170</v>
      </c>
    </row>
    <row r="267" ht="14.25" spans="1:9">
      <c r="A267" s="13"/>
      <c r="B267" s="69" t="s">
        <v>48</v>
      </c>
      <c r="C267" s="70"/>
      <c r="D267" s="70"/>
      <c r="E267" s="8" t="s">
        <v>49</v>
      </c>
      <c r="F267" s="8" t="s">
        <v>69</v>
      </c>
      <c r="G267" s="21">
        <v>2</v>
      </c>
      <c r="H267" s="24"/>
      <c r="I267" s="8">
        <f t="shared" si="13"/>
        <v>340</v>
      </c>
    </row>
    <row r="268" ht="14.25" spans="1:9">
      <c r="A268" s="20"/>
      <c r="B268" s="73" t="s">
        <v>32</v>
      </c>
      <c r="C268" s="74"/>
      <c r="D268" s="75"/>
      <c r="E268" s="8"/>
      <c r="F268" s="8"/>
      <c r="G268" s="21"/>
      <c r="H268" s="25"/>
      <c r="I268" s="8"/>
    </row>
    <row r="269" ht="14.25" spans="1:9">
      <c r="A269" s="83" t="s">
        <v>134</v>
      </c>
      <c r="B269" s="64" t="s">
        <v>88</v>
      </c>
      <c r="C269" s="65"/>
      <c r="D269" s="65"/>
      <c r="E269" s="84" t="s">
        <v>13</v>
      </c>
      <c r="F269" s="84">
        <v>1.62</v>
      </c>
      <c r="G269" s="85">
        <v>1.86</v>
      </c>
      <c r="H269" s="86">
        <v>130</v>
      </c>
      <c r="I269" s="84">
        <f>G269*$H$269</f>
        <v>241.8</v>
      </c>
    </row>
    <row r="270" ht="14.25" spans="1:9">
      <c r="A270" s="87"/>
      <c r="B270" s="64" t="s">
        <v>135</v>
      </c>
      <c r="C270" s="65"/>
      <c r="D270" s="65"/>
      <c r="E270" s="84" t="s">
        <v>13</v>
      </c>
      <c r="F270" s="84">
        <v>1.65</v>
      </c>
      <c r="G270" s="85">
        <v>1.86</v>
      </c>
      <c r="H270" s="88"/>
      <c r="I270" s="84">
        <f t="shared" ref="I270:I285" si="14">G270*$H$269</f>
        <v>241.8</v>
      </c>
    </row>
    <row r="271" ht="14.25" spans="1:9">
      <c r="A271" s="87"/>
      <c r="B271" s="64" t="s">
        <v>42</v>
      </c>
      <c r="C271" s="65"/>
      <c r="D271" s="65"/>
      <c r="E271" s="84" t="s">
        <v>13</v>
      </c>
      <c r="F271" s="84">
        <v>1.7</v>
      </c>
      <c r="G271" s="85">
        <v>1.86</v>
      </c>
      <c r="H271" s="88"/>
      <c r="I271" s="84">
        <f t="shared" si="14"/>
        <v>241.8</v>
      </c>
    </row>
    <row r="272" ht="40" customHeight="1" spans="1:9">
      <c r="A272" s="87"/>
      <c r="B272" s="89" t="s">
        <v>136</v>
      </c>
      <c r="C272" s="90"/>
      <c r="D272" s="90"/>
      <c r="E272" s="84" t="s">
        <v>13</v>
      </c>
      <c r="F272" s="84">
        <v>1.6</v>
      </c>
      <c r="G272" s="85">
        <v>0.77</v>
      </c>
      <c r="H272" s="88"/>
      <c r="I272" s="84">
        <f t="shared" si="14"/>
        <v>100.1</v>
      </c>
    </row>
    <row r="273" ht="14.25" spans="1:9">
      <c r="A273" s="87"/>
      <c r="B273" s="64" t="s">
        <v>135</v>
      </c>
      <c r="C273" s="65"/>
      <c r="D273" s="65"/>
      <c r="E273" s="84" t="s">
        <v>13</v>
      </c>
      <c r="F273" s="84">
        <v>1.63</v>
      </c>
      <c r="G273" s="85">
        <v>0.77</v>
      </c>
      <c r="H273" s="88"/>
      <c r="I273" s="84">
        <f t="shared" si="14"/>
        <v>100.1</v>
      </c>
    </row>
    <row r="274" ht="14.25" spans="1:9">
      <c r="A274" s="87"/>
      <c r="B274" s="64" t="s">
        <v>137</v>
      </c>
      <c r="C274" s="65"/>
      <c r="D274" s="65"/>
      <c r="E274" s="84" t="s">
        <v>13</v>
      </c>
      <c r="F274" s="84">
        <v>1.65</v>
      </c>
      <c r="G274" s="85">
        <v>0.77</v>
      </c>
      <c r="H274" s="88"/>
      <c r="I274" s="84">
        <f t="shared" si="14"/>
        <v>100.1</v>
      </c>
    </row>
    <row r="275" ht="14.25" spans="1:9">
      <c r="A275" s="87"/>
      <c r="B275" s="64" t="s">
        <v>138</v>
      </c>
      <c r="C275" s="65"/>
      <c r="D275" s="65"/>
      <c r="E275" s="84" t="s">
        <v>13</v>
      </c>
      <c r="F275" s="84">
        <v>1.6</v>
      </c>
      <c r="G275" s="85">
        <v>0.17</v>
      </c>
      <c r="H275" s="88"/>
      <c r="I275" s="84">
        <f t="shared" si="14"/>
        <v>22.1</v>
      </c>
    </row>
    <row r="276" ht="14.25" spans="1:9">
      <c r="A276" s="87"/>
      <c r="B276" s="64" t="s">
        <v>135</v>
      </c>
      <c r="C276" s="65"/>
      <c r="D276" s="65"/>
      <c r="E276" s="84" t="s">
        <v>13</v>
      </c>
      <c r="F276" s="84">
        <v>1.63</v>
      </c>
      <c r="G276" s="85">
        <v>0.17</v>
      </c>
      <c r="H276" s="88"/>
      <c r="I276" s="84">
        <f t="shared" si="14"/>
        <v>22.1</v>
      </c>
    </row>
    <row r="277" ht="14.25" spans="1:9">
      <c r="A277" s="87"/>
      <c r="B277" s="64" t="s">
        <v>42</v>
      </c>
      <c r="C277" s="65"/>
      <c r="D277" s="65"/>
      <c r="E277" s="84" t="s">
        <v>13</v>
      </c>
      <c r="F277" s="84">
        <v>1.7</v>
      </c>
      <c r="G277" s="85">
        <v>0.17</v>
      </c>
      <c r="H277" s="88"/>
      <c r="I277" s="84">
        <f t="shared" si="14"/>
        <v>22.1</v>
      </c>
    </row>
    <row r="278" ht="14.25" spans="1:9">
      <c r="A278" s="87"/>
      <c r="B278" s="64" t="s">
        <v>44</v>
      </c>
      <c r="C278" s="65"/>
      <c r="D278" s="65"/>
      <c r="E278" s="84" t="s">
        <v>13</v>
      </c>
      <c r="F278" s="84">
        <v>1.8</v>
      </c>
      <c r="G278" s="85">
        <v>1.75</v>
      </c>
      <c r="H278" s="88"/>
      <c r="I278" s="84">
        <f t="shared" si="14"/>
        <v>227.5</v>
      </c>
    </row>
    <row r="279" ht="14.25" spans="1:9">
      <c r="A279" s="87"/>
      <c r="B279" s="64" t="s">
        <v>78</v>
      </c>
      <c r="C279" s="65"/>
      <c r="D279" s="65"/>
      <c r="E279" s="84" t="s">
        <v>13</v>
      </c>
      <c r="F279" s="84">
        <v>1.83</v>
      </c>
      <c r="G279" s="85">
        <v>1.75</v>
      </c>
      <c r="H279" s="88"/>
      <c r="I279" s="84">
        <f t="shared" si="14"/>
        <v>227.5</v>
      </c>
    </row>
    <row r="280" ht="14.25" spans="1:9">
      <c r="A280" s="87"/>
      <c r="B280" s="64" t="s">
        <v>42</v>
      </c>
      <c r="C280" s="65"/>
      <c r="D280" s="65"/>
      <c r="E280" s="84" t="s">
        <v>13</v>
      </c>
      <c r="F280" s="84">
        <v>1.9</v>
      </c>
      <c r="G280" s="85">
        <v>1.75</v>
      </c>
      <c r="H280" s="88"/>
      <c r="I280" s="84">
        <f t="shared" si="14"/>
        <v>227.5</v>
      </c>
    </row>
    <row r="281" ht="14.25" spans="1:9">
      <c r="A281" s="87"/>
      <c r="B281" s="64" t="s">
        <v>79</v>
      </c>
      <c r="C281" s="65"/>
      <c r="D281" s="65"/>
      <c r="E281" s="84" t="s">
        <v>13</v>
      </c>
      <c r="F281" s="84" t="s">
        <v>51</v>
      </c>
      <c r="G281" s="85">
        <v>3.7</v>
      </c>
      <c r="H281" s="88"/>
      <c r="I281" s="84">
        <f t="shared" si="14"/>
        <v>481</v>
      </c>
    </row>
    <row r="282" ht="14.25" spans="1:9">
      <c r="A282" s="87"/>
      <c r="B282" s="64" t="s">
        <v>139</v>
      </c>
      <c r="C282" s="65"/>
      <c r="D282" s="65"/>
      <c r="E282" s="84" t="s">
        <v>60</v>
      </c>
      <c r="F282" s="84"/>
      <c r="G282" s="85">
        <v>2</v>
      </c>
      <c r="H282" s="88"/>
      <c r="I282" s="84">
        <f t="shared" si="14"/>
        <v>260</v>
      </c>
    </row>
    <row r="283" ht="14.25" spans="1:9">
      <c r="A283" s="87"/>
      <c r="B283" s="64" t="s">
        <v>140</v>
      </c>
      <c r="C283" s="65"/>
      <c r="D283" s="65"/>
      <c r="E283" s="84" t="s">
        <v>60</v>
      </c>
      <c r="F283" s="84"/>
      <c r="G283" s="85">
        <v>2</v>
      </c>
      <c r="H283" s="88"/>
      <c r="I283" s="84">
        <f t="shared" si="14"/>
        <v>260</v>
      </c>
    </row>
    <row r="284" ht="14.25" spans="1:9">
      <c r="A284" s="87"/>
      <c r="B284" s="64" t="s">
        <v>48</v>
      </c>
      <c r="C284" s="65"/>
      <c r="D284" s="65"/>
      <c r="E284" s="84" t="s">
        <v>49</v>
      </c>
      <c r="F284" s="84" t="s">
        <v>69</v>
      </c>
      <c r="G284" s="85">
        <v>2</v>
      </c>
      <c r="H284" s="88"/>
      <c r="I284" s="84">
        <f t="shared" si="14"/>
        <v>260</v>
      </c>
    </row>
    <row r="285" ht="14.25" spans="1:9">
      <c r="A285" s="87"/>
      <c r="B285" s="64" t="s">
        <v>141</v>
      </c>
      <c r="C285" s="65"/>
      <c r="D285" s="65"/>
      <c r="E285" s="86" t="s">
        <v>53</v>
      </c>
      <c r="F285" s="86" t="s">
        <v>54</v>
      </c>
      <c r="G285" s="91">
        <v>1</v>
      </c>
      <c r="H285" s="88"/>
      <c r="I285" s="84">
        <f t="shared" si="14"/>
        <v>130</v>
      </c>
    </row>
    <row r="286" ht="14.25" spans="1:9">
      <c r="A286" s="87"/>
      <c r="B286" s="64" t="s">
        <v>55</v>
      </c>
      <c r="C286" s="65"/>
      <c r="D286" s="65"/>
      <c r="E286" s="86"/>
      <c r="F286" s="86"/>
      <c r="G286" s="91"/>
      <c r="H286" s="88"/>
      <c r="I286" s="86"/>
    </row>
    <row r="287" ht="14.25" spans="1:9">
      <c r="A287" s="92"/>
      <c r="B287" s="64" t="s">
        <v>32</v>
      </c>
      <c r="C287" s="65"/>
      <c r="D287" s="65"/>
      <c r="E287" s="84"/>
      <c r="F287" s="84"/>
      <c r="G287" s="85"/>
      <c r="H287" s="93"/>
      <c r="I287" s="84"/>
    </row>
    <row r="288" ht="14.25" spans="1:9">
      <c r="A288" s="83" t="s">
        <v>142</v>
      </c>
      <c r="B288" s="64" t="s">
        <v>88</v>
      </c>
      <c r="C288" s="65"/>
      <c r="D288" s="65"/>
      <c r="E288" s="84" t="s">
        <v>13</v>
      </c>
      <c r="F288" s="84">
        <v>1.62</v>
      </c>
      <c r="G288" s="85">
        <v>1.86</v>
      </c>
      <c r="H288" s="86">
        <v>210</v>
      </c>
      <c r="I288" s="84">
        <f>G288*$H$288</f>
        <v>390.6</v>
      </c>
    </row>
    <row r="289" ht="14.25" spans="1:9">
      <c r="A289" s="87"/>
      <c r="B289" s="64" t="s">
        <v>135</v>
      </c>
      <c r="C289" s="65"/>
      <c r="D289" s="65"/>
      <c r="E289" s="84" t="s">
        <v>13</v>
      </c>
      <c r="F289" s="84">
        <v>1.65</v>
      </c>
      <c r="G289" s="85">
        <v>1.86</v>
      </c>
      <c r="H289" s="88"/>
      <c r="I289" s="84">
        <f t="shared" ref="I289:I304" si="15">G289*$H$288</f>
        <v>390.6</v>
      </c>
    </row>
    <row r="290" ht="14.25" spans="1:9">
      <c r="A290" s="87"/>
      <c r="B290" s="64" t="s">
        <v>42</v>
      </c>
      <c r="C290" s="65"/>
      <c r="D290" s="65"/>
      <c r="E290" s="84" t="s">
        <v>13</v>
      </c>
      <c r="F290" s="84">
        <v>1.7</v>
      </c>
      <c r="G290" s="85">
        <v>1.86</v>
      </c>
      <c r="H290" s="88"/>
      <c r="I290" s="84">
        <f t="shared" si="15"/>
        <v>390.6</v>
      </c>
    </row>
    <row r="291" ht="44" customHeight="1" spans="1:9">
      <c r="A291" s="87"/>
      <c r="B291" s="89" t="s">
        <v>143</v>
      </c>
      <c r="C291" s="90"/>
      <c r="D291" s="90"/>
      <c r="E291" s="84" t="s">
        <v>13</v>
      </c>
      <c r="F291" s="84">
        <v>1.6</v>
      </c>
      <c r="G291" s="85">
        <v>0.77</v>
      </c>
      <c r="H291" s="88"/>
      <c r="I291" s="84">
        <f t="shared" si="15"/>
        <v>161.7</v>
      </c>
    </row>
    <row r="292" ht="14.25" spans="1:9">
      <c r="A292" s="87"/>
      <c r="B292" s="64" t="s">
        <v>135</v>
      </c>
      <c r="C292" s="65"/>
      <c r="D292" s="65"/>
      <c r="E292" s="84" t="s">
        <v>13</v>
      </c>
      <c r="F292" s="84">
        <v>1.63</v>
      </c>
      <c r="G292" s="85">
        <v>0.77</v>
      </c>
      <c r="H292" s="88"/>
      <c r="I292" s="84">
        <f t="shared" si="15"/>
        <v>161.7</v>
      </c>
    </row>
    <row r="293" ht="14.25" spans="1:9">
      <c r="A293" s="87"/>
      <c r="B293" s="64" t="s">
        <v>137</v>
      </c>
      <c r="C293" s="65"/>
      <c r="D293" s="65"/>
      <c r="E293" s="84" t="s">
        <v>13</v>
      </c>
      <c r="F293" s="84">
        <v>1.65</v>
      </c>
      <c r="G293" s="85">
        <v>0.77</v>
      </c>
      <c r="H293" s="88"/>
      <c r="I293" s="84">
        <f t="shared" si="15"/>
        <v>161.7</v>
      </c>
    </row>
    <row r="294" ht="14.25" spans="1:9">
      <c r="A294" s="87"/>
      <c r="B294" s="64" t="s">
        <v>138</v>
      </c>
      <c r="C294" s="65"/>
      <c r="D294" s="65"/>
      <c r="E294" s="84" t="s">
        <v>13</v>
      </c>
      <c r="F294" s="84">
        <v>1.6</v>
      </c>
      <c r="G294" s="85">
        <v>0.17</v>
      </c>
      <c r="H294" s="88"/>
      <c r="I294" s="84">
        <f t="shared" si="15"/>
        <v>35.7</v>
      </c>
    </row>
    <row r="295" ht="14.25" spans="1:9">
      <c r="A295" s="87"/>
      <c r="B295" s="64" t="s">
        <v>135</v>
      </c>
      <c r="C295" s="65"/>
      <c r="D295" s="65"/>
      <c r="E295" s="84" t="s">
        <v>13</v>
      </c>
      <c r="F295" s="84">
        <v>1.63</v>
      </c>
      <c r="G295" s="85">
        <v>0.17</v>
      </c>
      <c r="H295" s="88"/>
      <c r="I295" s="84">
        <f t="shared" si="15"/>
        <v>35.7</v>
      </c>
    </row>
    <row r="296" ht="14.25" spans="1:9">
      <c r="A296" s="87"/>
      <c r="B296" s="64" t="s">
        <v>42</v>
      </c>
      <c r="C296" s="65"/>
      <c r="D296" s="65"/>
      <c r="E296" s="84" t="s">
        <v>13</v>
      </c>
      <c r="F296" s="84">
        <v>1.7</v>
      </c>
      <c r="G296" s="85">
        <v>0.17</v>
      </c>
      <c r="H296" s="88"/>
      <c r="I296" s="84">
        <f t="shared" si="15"/>
        <v>35.7</v>
      </c>
    </row>
    <row r="297" ht="14.25" spans="1:9">
      <c r="A297" s="87"/>
      <c r="B297" s="64" t="s">
        <v>44</v>
      </c>
      <c r="C297" s="65"/>
      <c r="D297" s="65"/>
      <c r="E297" s="84" t="s">
        <v>13</v>
      </c>
      <c r="F297" s="84">
        <v>1.8</v>
      </c>
      <c r="G297" s="85">
        <v>1.75</v>
      </c>
      <c r="H297" s="88"/>
      <c r="I297" s="84">
        <f t="shared" si="15"/>
        <v>367.5</v>
      </c>
    </row>
    <row r="298" ht="14.25" spans="1:9">
      <c r="A298" s="87"/>
      <c r="B298" s="64" t="s">
        <v>78</v>
      </c>
      <c r="C298" s="65"/>
      <c r="D298" s="65"/>
      <c r="E298" s="84" t="s">
        <v>13</v>
      </c>
      <c r="F298" s="84">
        <v>1.83</v>
      </c>
      <c r="G298" s="85">
        <v>1.75</v>
      </c>
      <c r="H298" s="88"/>
      <c r="I298" s="84">
        <f t="shared" si="15"/>
        <v>367.5</v>
      </c>
    </row>
    <row r="299" ht="14.25" spans="1:9">
      <c r="A299" s="87"/>
      <c r="B299" s="64" t="s">
        <v>42</v>
      </c>
      <c r="C299" s="65"/>
      <c r="D299" s="65"/>
      <c r="E299" s="84" t="s">
        <v>13</v>
      </c>
      <c r="F299" s="84">
        <v>1.9</v>
      </c>
      <c r="G299" s="85">
        <v>1.75</v>
      </c>
      <c r="H299" s="88"/>
      <c r="I299" s="84">
        <f t="shared" si="15"/>
        <v>367.5</v>
      </c>
    </row>
    <row r="300" ht="14.25" spans="1:9">
      <c r="A300" s="87"/>
      <c r="B300" s="64" t="s">
        <v>70</v>
      </c>
      <c r="C300" s="65"/>
      <c r="D300" s="65"/>
      <c r="E300" s="84" t="s">
        <v>13</v>
      </c>
      <c r="F300" s="84" t="s">
        <v>51</v>
      </c>
      <c r="G300" s="85">
        <v>3.7</v>
      </c>
      <c r="H300" s="88"/>
      <c r="I300" s="84">
        <f t="shared" si="15"/>
        <v>777</v>
      </c>
    </row>
    <row r="301" ht="14.25" spans="1:9">
      <c r="A301" s="87"/>
      <c r="B301" s="64" t="s">
        <v>139</v>
      </c>
      <c r="C301" s="65"/>
      <c r="D301" s="65"/>
      <c r="E301" s="84" t="s">
        <v>60</v>
      </c>
      <c r="F301" s="84"/>
      <c r="G301" s="85">
        <v>2</v>
      </c>
      <c r="H301" s="88"/>
      <c r="I301" s="84">
        <f t="shared" si="15"/>
        <v>420</v>
      </c>
    </row>
    <row r="302" ht="14.25" spans="1:9">
      <c r="A302" s="87"/>
      <c r="B302" s="64" t="s">
        <v>140</v>
      </c>
      <c r="C302" s="65"/>
      <c r="D302" s="65"/>
      <c r="E302" s="84" t="s">
        <v>60</v>
      </c>
      <c r="F302" s="84"/>
      <c r="G302" s="85">
        <v>2</v>
      </c>
      <c r="H302" s="88"/>
      <c r="I302" s="84">
        <f t="shared" si="15"/>
        <v>420</v>
      </c>
    </row>
    <row r="303" ht="14.25" spans="1:9">
      <c r="A303" s="87"/>
      <c r="B303" s="64" t="s">
        <v>48</v>
      </c>
      <c r="C303" s="65"/>
      <c r="D303" s="65"/>
      <c r="E303" s="84" t="s">
        <v>49</v>
      </c>
      <c r="F303" s="84" t="s">
        <v>69</v>
      </c>
      <c r="G303" s="85">
        <v>2</v>
      </c>
      <c r="H303" s="88"/>
      <c r="I303" s="84">
        <f t="shared" si="15"/>
        <v>420</v>
      </c>
    </row>
    <row r="304" ht="14.25" spans="1:9">
      <c r="A304" s="87"/>
      <c r="B304" s="64" t="s">
        <v>141</v>
      </c>
      <c r="C304" s="65"/>
      <c r="D304" s="65"/>
      <c r="E304" s="86" t="s">
        <v>53</v>
      </c>
      <c r="F304" s="86" t="s">
        <v>54</v>
      </c>
      <c r="G304" s="91">
        <v>1</v>
      </c>
      <c r="H304" s="88"/>
      <c r="I304" s="84">
        <f t="shared" si="15"/>
        <v>210</v>
      </c>
    </row>
    <row r="305" ht="14.25" spans="1:9">
      <c r="A305" s="87"/>
      <c r="B305" s="64" t="s">
        <v>55</v>
      </c>
      <c r="C305" s="65"/>
      <c r="D305" s="65"/>
      <c r="E305" s="86"/>
      <c r="F305" s="86"/>
      <c r="G305" s="91"/>
      <c r="H305" s="88"/>
      <c r="I305" s="86"/>
    </row>
    <row r="306" ht="14.25" spans="1:9">
      <c r="A306" s="92"/>
      <c r="B306" s="64" t="s">
        <v>32</v>
      </c>
      <c r="C306" s="65"/>
      <c r="D306" s="65"/>
      <c r="E306" s="84"/>
      <c r="F306" s="84"/>
      <c r="G306" s="85"/>
      <c r="H306" s="93"/>
      <c r="I306" s="84"/>
    </row>
    <row r="307" ht="30" customHeight="1" spans="1:9">
      <c r="A307" s="83" t="s">
        <v>144</v>
      </c>
      <c r="B307" s="89" t="s">
        <v>88</v>
      </c>
      <c r="C307" s="90"/>
      <c r="D307" s="90"/>
      <c r="E307" s="84" t="s">
        <v>13</v>
      </c>
      <c r="F307" s="84">
        <v>1.62</v>
      </c>
      <c r="G307" s="85">
        <v>1.86</v>
      </c>
      <c r="H307" s="86">
        <v>50</v>
      </c>
      <c r="I307" s="84">
        <f>G307*$H$307</f>
        <v>93</v>
      </c>
    </row>
    <row r="308" ht="14.25" spans="1:9">
      <c r="A308" s="87"/>
      <c r="B308" s="64" t="s">
        <v>135</v>
      </c>
      <c r="C308" s="65"/>
      <c r="D308" s="65"/>
      <c r="E308" s="84" t="s">
        <v>13</v>
      </c>
      <c r="F308" s="84">
        <v>1.65</v>
      </c>
      <c r="G308" s="85">
        <v>1.86</v>
      </c>
      <c r="H308" s="88"/>
      <c r="I308" s="84">
        <f t="shared" ref="I308:I323" si="16">G308*$H$307</f>
        <v>93</v>
      </c>
    </row>
    <row r="309" ht="14.25" spans="1:9">
      <c r="A309" s="87"/>
      <c r="B309" s="64" t="s">
        <v>42</v>
      </c>
      <c r="C309" s="65"/>
      <c r="D309" s="65"/>
      <c r="E309" s="84" t="s">
        <v>13</v>
      </c>
      <c r="F309" s="84">
        <v>1.7</v>
      </c>
      <c r="G309" s="85">
        <v>1.86</v>
      </c>
      <c r="H309" s="88"/>
      <c r="I309" s="84">
        <f t="shared" si="16"/>
        <v>93</v>
      </c>
    </row>
    <row r="310" ht="35" customHeight="1" spans="1:9">
      <c r="A310" s="87"/>
      <c r="B310" s="89" t="s">
        <v>145</v>
      </c>
      <c r="C310" s="90"/>
      <c r="D310" s="90"/>
      <c r="E310" s="84" t="s">
        <v>13</v>
      </c>
      <c r="F310" s="84">
        <v>1.6</v>
      </c>
      <c r="G310" s="85">
        <v>0.77</v>
      </c>
      <c r="H310" s="88"/>
      <c r="I310" s="84">
        <f t="shared" si="16"/>
        <v>38.5</v>
      </c>
    </row>
    <row r="311" ht="14.25" spans="1:9">
      <c r="A311" s="87"/>
      <c r="B311" s="64" t="s">
        <v>135</v>
      </c>
      <c r="C311" s="65"/>
      <c r="D311" s="65"/>
      <c r="E311" s="84" t="s">
        <v>13</v>
      </c>
      <c r="F311" s="84">
        <v>1.63</v>
      </c>
      <c r="G311" s="85">
        <v>0.77</v>
      </c>
      <c r="H311" s="88"/>
      <c r="I311" s="84">
        <f t="shared" si="16"/>
        <v>38.5</v>
      </c>
    </row>
    <row r="312" ht="14.25" spans="1:9">
      <c r="A312" s="87"/>
      <c r="B312" s="64" t="s">
        <v>137</v>
      </c>
      <c r="C312" s="65"/>
      <c r="D312" s="65"/>
      <c r="E312" s="84" t="s">
        <v>13</v>
      </c>
      <c r="F312" s="84">
        <v>1.65</v>
      </c>
      <c r="G312" s="85">
        <v>0.77</v>
      </c>
      <c r="H312" s="88"/>
      <c r="I312" s="84">
        <f t="shared" si="16"/>
        <v>38.5</v>
      </c>
    </row>
    <row r="313" ht="14.25" spans="1:9">
      <c r="A313" s="87"/>
      <c r="B313" s="64" t="s">
        <v>138</v>
      </c>
      <c r="C313" s="65"/>
      <c r="D313" s="65"/>
      <c r="E313" s="84" t="s">
        <v>13</v>
      </c>
      <c r="F313" s="84">
        <v>1.6</v>
      </c>
      <c r="G313" s="85">
        <v>0.17</v>
      </c>
      <c r="H313" s="88"/>
      <c r="I313" s="84">
        <f t="shared" si="16"/>
        <v>8.5</v>
      </c>
    </row>
    <row r="314" ht="14.25" spans="1:9">
      <c r="A314" s="87"/>
      <c r="B314" s="64" t="s">
        <v>135</v>
      </c>
      <c r="C314" s="65"/>
      <c r="D314" s="65"/>
      <c r="E314" s="84" t="s">
        <v>13</v>
      </c>
      <c r="F314" s="84">
        <v>1.63</v>
      </c>
      <c r="G314" s="85">
        <v>0.17</v>
      </c>
      <c r="H314" s="88"/>
      <c r="I314" s="84">
        <f t="shared" si="16"/>
        <v>8.5</v>
      </c>
    </row>
    <row r="315" ht="14.25" spans="1:9">
      <c r="A315" s="87"/>
      <c r="B315" s="64" t="s">
        <v>42</v>
      </c>
      <c r="C315" s="65"/>
      <c r="D315" s="65"/>
      <c r="E315" s="84" t="s">
        <v>13</v>
      </c>
      <c r="F315" s="84">
        <v>1.7</v>
      </c>
      <c r="G315" s="85">
        <v>0.17</v>
      </c>
      <c r="H315" s="88"/>
      <c r="I315" s="84">
        <f t="shared" si="16"/>
        <v>8.5</v>
      </c>
    </row>
    <row r="316" ht="14.25" spans="1:9">
      <c r="A316" s="87"/>
      <c r="B316" s="64" t="s">
        <v>44</v>
      </c>
      <c r="C316" s="65"/>
      <c r="D316" s="65"/>
      <c r="E316" s="84" t="s">
        <v>13</v>
      </c>
      <c r="F316" s="84">
        <v>1.8</v>
      </c>
      <c r="G316" s="85">
        <v>1.75</v>
      </c>
      <c r="H316" s="88"/>
      <c r="I316" s="84">
        <f t="shared" si="16"/>
        <v>87.5</v>
      </c>
    </row>
    <row r="317" ht="14.25" spans="1:9">
      <c r="A317" s="87"/>
      <c r="B317" s="64" t="s">
        <v>78</v>
      </c>
      <c r="C317" s="65"/>
      <c r="D317" s="65"/>
      <c r="E317" s="84" t="s">
        <v>13</v>
      </c>
      <c r="F317" s="84">
        <v>1.83</v>
      </c>
      <c r="G317" s="85">
        <v>1.75</v>
      </c>
      <c r="H317" s="88"/>
      <c r="I317" s="84">
        <f t="shared" si="16"/>
        <v>87.5</v>
      </c>
    </row>
    <row r="318" ht="14.25" spans="1:9">
      <c r="A318" s="87"/>
      <c r="B318" s="64" t="s">
        <v>42</v>
      </c>
      <c r="C318" s="65"/>
      <c r="D318" s="65"/>
      <c r="E318" s="84" t="s">
        <v>13</v>
      </c>
      <c r="F318" s="84">
        <v>1.9</v>
      </c>
      <c r="G318" s="85">
        <v>1.75</v>
      </c>
      <c r="H318" s="88"/>
      <c r="I318" s="84">
        <f t="shared" si="16"/>
        <v>87.5</v>
      </c>
    </row>
    <row r="319" ht="14.25" spans="1:9">
      <c r="A319" s="87"/>
      <c r="B319" s="64" t="s">
        <v>146</v>
      </c>
      <c r="C319" s="65"/>
      <c r="D319" s="65"/>
      <c r="E319" s="84" t="s">
        <v>13</v>
      </c>
      <c r="F319" s="84" t="s">
        <v>51</v>
      </c>
      <c r="G319" s="85">
        <v>3.7</v>
      </c>
      <c r="H319" s="88"/>
      <c r="I319" s="84">
        <f t="shared" si="16"/>
        <v>185</v>
      </c>
    </row>
    <row r="320" ht="14.25" spans="1:9">
      <c r="A320" s="87"/>
      <c r="B320" s="64" t="s">
        <v>139</v>
      </c>
      <c r="C320" s="65"/>
      <c r="D320" s="65"/>
      <c r="E320" s="84" t="s">
        <v>60</v>
      </c>
      <c r="F320" s="84"/>
      <c r="G320" s="85">
        <v>2</v>
      </c>
      <c r="H320" s="88"/>
      <c r="I320" s="84">
        <f t="shared" si="16"/>
        <v>100</v>
      </c>
    </row>
    <row r="321" ht="14.25" spans="1:9">
      <c r="A321" s="87"/>
      <c r="B321" s="64" t="s">
        <v>140</v>
      </c>
      <c r="C321" s="65"/>
      <c r="D321" s="65"/>
      <c r="E321" s="84" t="s">
        <v>60</v>
      </c>
      <c r="F321" s="84"/>
      <c r="G321" s="85">
        <v>2</v>
      </c>
      <c r="H321" s="88"/>
      <c r="I321" s="84">
        <f t="shared" si="16"/>
        <v>100</v>
      </c>
    </row>
    <row r="322" ht="14.25" spans="1:9">
      <c r="A322" s="87"/>
      <c r="B322" s="64" t="s">
        <v>48</v>
      </c>
      <c r="C322" s="65"/>
      <c r="D322" s="65"/>
      <c r="E322" s="84" t="s">
        <v>49</v>
      </c>
      <c r="F322" s="84" t="s">
        <v>69</v>
      </c>
      <c r="G322" s="85">
        <v>2</v>
      </c>
      <c r="H322" s="88"/>
      <c r="I322" s="84">
        <f t="shared" si="16"/>
        <v>100</v>
      </c>
    </row>
    <row r="323" ht="14.25" spans="1:9">
      <c r="A323" s="87"/>
      <c r="B323" s="64" t="s">
        <v>141</v>
      </c>
      <c r="C323" s="65"/>
      <c r="D323" s="65"/>
      <c r="E323" s="86" t="s">
        <v>53</v>
      </c>
      <c r="F323" s="86" t="s">
        <v>54</v>
      </c>
      <c r="G323" s="91">
        <v>1</v>
      </c>
      <c r="H323" s="88"/>
      <c r="I323" s="84">
        <f t="shared" si="16"/>
        <v>50</v>
      </c>
    </row>
    <row r="324" ht="14.25" spans="1:9">
      <c r="A324" s="87"/>
      <c r="B324" s="64" t="s">
        <v>55</v>
      </c>
      <c r="C324" s="65"/>
      <c r="D324" s="65"/>
      <c r="E324" s="86"/>
      <c r="F324" s="86"/>
      <c r="G324" s="91"/>
      <c r="H324" s="88"/>
      <c r="I324" s="86"/>
    </row>
    <row r="325" ht="14.25" spans="1:9">
      <c r="A325" s="92"/>
      <c r="B325" s="64" t="s">
        <v>32</v>
      </c>
      <c r="C325" s="65"/>
      <c r="D325" s="65"/>
      <c r="E325" s="84"/>
      <c r="F325" s="84"/>
      <c r="G325" s="85"/>
      <c r="H325" s="93"/>
      <c r="I325" s="84"/>
    </row>
    <row r="326" ht="31" customHeight="1" spans="1:9">
      <c r="A326" s="94" t="s">
        <v>147</v>
      </c>
      <c r="B326" s="89" t="s">
        <v>76</v>
      </c>
      <c r="C326" s="90"/>
      <c r="D326" s="90"/>
      <c r="E326" s="84" t="s">
        <v>13</v>
      </c>
      <c r="F326" s="95">
        <v>1.62</v>
      </c>
      <c r="G326" s="85">
        <v>2.37</v>
      </c>
      <c r="H326" s="86">
        <v>190</v>
      </c>
      <c r="I326" s="84">
        <f>G326*$H$326</f>
        <v>450.3</v>
      </c>
    </row>
    <row r="327" ht="14.25" spans="1:9">
      <c r="A327" s="94"/>
      <c r="B327" s="64" t="s">
        <v>41</v>
      </c>
      <c r="C327" s="65"/>
      <c r="D327" s="65"/>
      <c r="E327" s="84" t="s">
        <v>13</v>
      </c>
      <c r="F327" s="84">
        <v>1.65</v>
      </c>
      <c r="G327" s="85">
        <v>2.37</v>
      </c>
      <c r="H327" s="88"/>
      <c r="I327" s="84">
        <f t="shared" ref="I327:I338" si="17">G327*$H$326</f>
        <v>450.3</v>
      </c>
    </row>
    <row r="328" ht="14.25" spans="1:9">
      <c r="A328" s="94"/>
      <c r="B328" s="64" t="s">
        <v>42</v>
      </c>
      <c r="C328" s="65"/>
      <c r="D328" s="65"/>
      <c r="E328" s="84" t="s">
        <v>13</v>
      </c>
      <c r="F328" s="84">
        <v>1.7</v>
      </c>
      <c r="G328" s="85">
        <v>2.37</v>
      </c>
      <c r="H328" s="88"/>
      <c r="I328" s="84">
        <f t="shared" si="17"/>
        <v>450.3</v>
      </c>
    </row>
    <row r="329" ht="36" customHeight="1" spans="1:9">
      <c r="A329" s="94"/>
      <c r="B329" s="89" t="s">
        <v>148</v>
      </c>
      <c r="C329" s="90"/>
      <c r="D329" s="90"/>
      <c r="E329" s="84" t="s">
        <v>13</v>
      </c>
      <c r="F329" s="95">
        <v>1.62</v>
      </c>
      <c r="G329" s="85">
        <v>0.71</v>
      </c>
      <c r="H329" s="88"/>
      <c r="I329" s="84">
        <f t="shared" si="17"/>
        <v>134.9</v>
      </c>
    </row>
    <row r="330" ht="14.25" spans="1:9">
      <c r="A330" s="94"/>
      <c r="B330" s="64" t="s">
        <v>41</v>
      </c>
      <c r="C330" s="65"/>
      <c r="D330" s="65"/>
      <c r="E330" s="84" t="s">
        <v>13</v>
      </c>
      <c r="F330" s="84">
        <v>1.65</v>
      </c>
      <c r="G330" s="85">
        <v>0.71</v>
      </c>
      <c r="H330" s="88"/>
      <c r="I330" s="84">
        <f t="shared" si="17"/>
        <v>134.9</v>
      </c>
    </row>
    <row r="331" ht="14.25" spans="1:9">
      <c r="A331" s="94"/>
      <c r="B331" s="64" t="s">
        <v>42</v>
      </c>
      <c r="C331" s="65"/>
      <c r="D331" s="65"/>
      <c r="E331" s="84" t="s">
        <v>13</v>
      </c>
      <c r="F331" s="84">
        <v>1.7</v>
      </c>
      <c r="G331" s="85">
        <v>0.71</v>
      </c>
      <c r="H331" s="88"/>
      <c r="I331" s="84">
        <f t="shared" si="17"/>
        <v>134.9</v>
      </c>
    </row>
    <row r="332" ht="14.25" spans="1:9">
      <c r="A332" s="94"/>
      <c r="B332" s="64" t="s">
        <v>44</v>
      </c>
      <c r="C332" s="65"/>
      <c r="D332" s="65"/>
      <c r="E332" s="84" t="s">
        <v>13</v>
      </c>
      <c r="F332" s="84">
        <v>1.8</v>
      </c>
      <c r="G332" s="85">
        <v>1.3</v>
      </c>
      <c r="H332" s="88"/>
      <c r="I332" s="84">
        <f t="shared" si="17"/>
        <v>247</v>
      </c>
    </row>
    <row r="333" ht="14.25" spans="1:9">
      <c r="A333" s="94"/>
      <c r="B333" s="64" t="s">
        <v>78</v>
      </c>
      <c r="C333" s="65"/>
      <c r="D333" s="65"/>
      <c r="E333" s="84" t="s">
        <v>13</v>
      </c>
      <c r="F333" s="84">
        <v>1.83</v>
      </c>
      <c r="G333" s="85">
        <v>1.3</v>
      </c>
      <c r="H333" s="88"/>
      <c r="I333" s="84">
        <f t="shared" si="17"/>
        <v>247</v>
      </c>
    </row>
    <row r="334" ht="14.25" spans="1:9">
      <c r="A334" s="94"/>
      <c r="B334" s="64" t="s">
        <v>42</v>
      </c>
      <c r="C334" s="65"/>
      <c r="D334" s="65"/>
      <c r="E334" s="84" t="s">
        <v>13</v>
      </c>
      <c r="F334" s="84">
        <v>1.9</v>
      </c>
      <c r="G334" s="85">
        <v>1.3</v>
      </c>
      <c r="H334" s="88"/>
      <c r="I334" s="84">
        <f t="shared" si="17"/>
        <v>247</v>
      </c>
    </row>
    <row r="335" ht="14.25" spans="1:9">
      <c r="A335" s="94"/>
      <c r="B335" s="64" t="s">
        <v>50</v>
      </c>
      <c r="C335" s="65"/>
      <c r="D335" s="65"/>
      <c r="E335" s="84" t="s">
        <v>13</v>
      </c>
      <c r="F335" s="84" t="s">
        <v>51</v>
      </c>
      <c r="G335" s="85">
        <v>5.1</v>
      </c>
      <c r="H335" s="88"/>
      <c r="I335" s="84">
        <f t="shared" si="17"/>
        <v>969</v>
      </c>
    </row>
    <row r="336" ht="14.25" spans="1:9">
      <c r="A336" s="94"/>
      <c r="B336" s="64" t="s">
        <v>48</v>
      </c>
      <c r="C336" s="65"/>
      <c r="D336" s="65"/>
      <c r="E336" s="84" t="s">
        <v>49</v>
      </c>
      <c r="F336" s="84" t="s">
        <v>69</v>
      </c>
      <c r="G336" s="85">
        <v>2</v>
      </c>
      <c r="H336" s="88"/>
      <c r="I336" s="84">
        <f t="shared" si="17"/>
        <v>380</v>
      </c>
    </row>
    <row r="337" ht="14.25" spans="1:9">
      <c r="A337" s="94"/>
      <c r="B337" s="64" t="s">
        <v>149</v>
      </c>
      <c r="C337" s="65"/>
      <c r="D337" s="65"/>
      <c r="E337" s="84" t="s">
        <v>13</v>
      </c>
      <c r="F337" s="84">
        <v>1.5</v>
      </c>
      <c r="G337" s="96">
        <v>0.3</v>
      </c>
      <c r="H337" s="88"/>
      <c r="I337" s="84">
        <f t="shared" si="17"/>
        <v>57</v>
      </c>
    </row>
    <row r="338" ht="14.25" spans="1:9">
      <c r="A338" s="94"/>
      <c r="B338" s="64" t="s">
        <v>150</v>
      </c>
      <c r="C338" s="65"/>
      <c r="D338" s="65"/>
      <c r="E338" s="86" t="s">
        <v>53</v>
      </c>
      <c r="F338" s="86" t="s">
        <v>54</v>
      </c>
      <c r="G338" s="91">
        <v>1</v>
      </c>
      <c r="H338" s="88"/>
      <c r="I338" s="84">
        <f t="shared" si="17"/>
        <v>190</v>
      </c>
    </row>
    <row r="339" ht="14.25" spans="1:9">
      <c r="A339" s="94"/>
      <c r="B339" s="64" t="s">
        <v>55</v>
      </c>
      <c r="C339" s="65"/>
      <c r="D339" s="65"/>
      <c r="E339" s="86"/>
      <c r="F339" s="86"/>
      <c r="G339" s="91"/>
      <c r="H339" s="88"/>
      <c r="I339" s="86"/>
    </row>
    <row r="340" ht="14.25" spans="1:9">
      <c r="A340" s="94"/>
      <c r="B340" s="64" t="s">
        <v>32</v>
      </c>
      <c r="C340" s="65"/>
      <c r="D340" s="65"/>
      <c r="E340" s="84"/>
      <c r="F340" s="84"/>
      <c r="G340" s="85"/>
      <c r="H340" s="88"/>
      <c r="I340" s="84"/>
    </row>
    <row r="341" ht="60.75" spans="1:9">
      <c r="A341" s="94"/>
      <c r="B341" s="64" t="s">
        <v>151</v>
      </c>
      <c r="C341" s="65"/>
      <c r="D341" s="65"/>
      <c r="E341" s="84" t="s">
        <v>152</v>
      </c>
      <c r="F341" s="97" t="s">
        <v>153</v>
      </c>
      <c r="G341" s="85">
        <v>1</v>
      </c>
      <c r="H341" s="93"/>
      <c r="I341" s="84">
        <f>G341*H326</f>
        <v>190</v>
      </c>
    </row>
    <row r="342" ht="38" customHeight="1" spans="1:9">
      <c r="A342" s="94" t="s">
        <v>154</v>
      </c>
      <c r="B342" s="89" t="s">
        <v>76</v>
      </c>
      <c r="C342" s="90"/>
      <c r="D342" s="90"/>
      <c r="E342" s="84" t="s">
        <v>13</v>
      </c>
      <c r="F342" s="95">
        <v>1.62</v>
      </c>
      <c r="G342" s="85">
        <v>2.37</v>
      </c>
      <c r="H342" s="86">
        <v>80</v>
      </c>
      <c r="I342" s="84">
        <f>G342*$H$342</f>
        <v>189.6</v>
      </c>
    </row>
    <row r="343" ht="14.25" spans="1:9">
      <c r="A343" s="94"/>
      <c r="B343" s="64" t="s">
        <v>41</v>
      </c>
      <c r="C343" s="65"/>
      <c r="D343" s="65"/>
      <c r="E343" s="84" t="s">
        <v>13</v>
      </c>
      <c r="F343" s="84">
        <v>1.65</v>
      </c>
      <c r="G343" s="85">
        <v>2.37</v>
      </c>
      <c r="H343" s="88"/>
      <c r="I343" s="84">
        <f t="shared" ref="I343:I354" si="18">G343*$H$342</f>
        <v>189.6</v>
      </c>
    </row>
    <row r="344" ht="14.25" spans="1:9">
      <c r="A344" s="94"/>
      <c r="B344" s="64" t="s">
        <v>42</v>
      </c>
      <c r="C344" s="65"/>
      <c r="D344" s="65"/>
      <c r="E344" s="84" t="s">
        <v>13</v>
      </c>
      <c r="F344" s="84">
        <v>1.7</v>
      </c>
      <c r="G344" s="85">
        <v>2.37</v>
      </c>
      <c r="H344" s="88"/>
      <c r="I344" s="84">
        <f t="shared" si="18"/>
        <v>189.6</v>
      </c>
    </row>
    <row r="345" ht="36" customHeight="1" spans="1:9">
      <c r="A345" s="94"/>
      <c r="B345" s="89" t="s">
        <v>155</v>
      </c>
      <c r="C345" s="90"/>
      <c r="D345" s="90"/>
      <c r="E345" s="84" t="s">
        <v>13</v>
      </c>
      <c r="F345" s="95">
        <v>1.62</v>
      </c>
      <c r="G345" s="85">
        <v>0.71</v>
      </c>
      <c r="H345" s="88"/>
      <c r="I345" s="84">
        <f t="shared" si="18"/>
        <v>56.8</v>
      </c>
    </row>
    <row r="346" ht="14.25" spans="1:9">
      <c r="A346" s="94"/>
      <c r="B346" s="64" t="s">
        <v>41</v>
      </c>
      <c r="C346" s="65"/>
      <c r="D346" s="65"/>
      <c r="E346" s="84" t="s">
        <v>13</v>
      </c>
      <c r="F346" s="84">
        <v>1.65</v>
      </c>
      <c r="G346" s="85">
        <v>0.71</v>
      </c>
      <c r="H346" s="88"/>
      <c r="I346" s="84">
        <f t="shared" si="18"/>
        <v>56.8</v>
      </c>
    </row>
    <row r="347" ht="14.25" spans="1:9">
      <c r="A347" s="94"/>
      <c r="B347" s="64" t="s">
        <v>42</v>
      </c>
      <c r="C347" s="65"/>
      <c r="D347" s="65"/>
      <c r="E347" s="84" t="s">
        <v>13</v>
      </c>
      <c r="F347" s="84">
        <v>1.7</v>
      </c>
      <c r="G347" s="85">
        <v>0.71</v>
      </c>
      <c r="H347" s="88"/>
      <c r="I347" s="84">
        <f t="shared" si="18"/>
        <v>56.8</v>
      </c>
    </row>
    <row r="348" ht="14.25" spans="1:9">
      <c r="A348" s="94"/>
      <c r="B348" s="64" t="s">
        <v>44</v>
      </c>
      <c r="C348" s="65"/>
      <c r="D348" s="65"/>
      <c r="E348" s="84" t="s">
        <v>13</v>
      </c>
      <c r="F348" s="84">
        <v>1.8</v>
      </c>
      <c r="G348" s="85">
        <v>1.3</v>
      </c>
      <c r="H348" s="88"/>
      <c r="I348" s="84">
        <f t="shared" si="18"/>
        <v>104</v>
      </c>
    </row>
    <row r="349" ht="14.25" spans="1:9">
      <c r="A349" s="94"/>
      <c r="B349" s="64" t="s">
        <v>78</v>
      </c>
      <c r="C349" s="65"/>
      <c r="D349" s="65"/>
      <c r="E349" s="84" t="s">
        <v>13</v>
      </c>
      <c r="F349" s="84">
        <v>1.83</v>
      </c>
      <c r="G349" s="85">
        <v>1.3</v>
      </c>
      <c r="H349" s="88"/>
      <c r="I349" s="84">
        <f t="shared" si="18"/>
        <v>104</v>
      </c>
    </row>
    <row r="350" ht="14.25" spans="1:9">
      <c r="A350" s="94"/>
      <c r="B350" s="64" t="s">
        <v>42</v>
      </c>
      <c r="C350" s="65"/>
      <c r="D350" s="65"/>
      <c r="E350" s="84" t="s">
        <v>13</v>
      </c>
      <c r="F350" s="84">
        <v>1.9</v>
      </c>
      <c r="G350" s="85">
        <v>1.3</v>
      </c>
      <c r="H350" s="88"/>
      <c r="I350" s="84">
        <f t="shared" si="18"/>
        <v>104</v>
      </c>
    </row>
    <row r="351" ht="14.25" spans="1:9">
      <c r="A351" s="94"/>
      <c r="B351" s="64" t="s">
        <v>50</v>
      </c>
      <c r="C351" s="65"/>
      <c r="D351" s="65"/>
      <c r="E351" s="84" t="s">
        <v>13</v>
      </c>
      <c r="F351" s="84" t="s">
        <v>51</v>
      </c>
      <c r="G351" s="85">
        <v>5.1</v>
      </c>
      <c r="H351" s="88"/>
      <c r="I351" s="84">
        <f t="shared" si="18"/>
        <v>408</v>
      </c>
    </row>
    <row r="352" ht="14.25" spans="1:9">
      <c r="A352" s="94"/>
      <c r="B352" s="64" t="s">
        <v>48</v>
      </c>
      <c r="C352" s="65"/>
      <c r="D352" s="65"/>
      <c r="E352" s="84" t="s">
        <v>49</v>
      </c>
      <c r="F352" s="84" t="s">
        <v>69</v>
      </c>
      <c r="G352" s="85">
        <v>2</v>
      </c>
      <c r="H352" s="88"/>
      <c r="I352" s="84">
        <f t="shared" si="18"/>
        <v>160</v>
      </c>
    </row>
    <row r="353" ht="14.25" spans="1:9">
      <c r="A353" s="94"/>
      <c r="B353" s="64" t="s">
        <v>149</v>
      </c>
      <c r="C353" s="65"/>
      <c r="D353" s="65"/>
      <c r="E353" s="84" t="s">
        <v>13</v>
      </c>
      <c r="F353" s="84">
        <v>1.5</v>
      </c>
      <c r="G353" s="96">
        <v>0.3</v>
      </c>
      <c r="H353" s="88"/>
      <c r="I353" s="84">
        <f t="shared" si="18"/>
        <v>24</v>
      </c>
    </row>
    <row r="354" ht="14.25" spans="1:9">
      <c r="A354" s="94"/>
      <c r="B354" s="64" t="s">
        <v>150</v>
      </c>
      <c r="C354" s="65"/>
      <c r="D354" s="65"/>
      <c r="E354" s="86" t="s">
        <v>53</v>
      </c>
      <c r="F354" s="86" t="s">
        <v>54</v>
      </c>
      <c r="G354" s="91">
        <v>1</v>
      </c>
      <c r="H354" s="88"/>
      <c r="I354" s="84">
        <f t="shared" si="18"/>
        <v>80</v>
      </c>
    </row>
    <row r="355" ht="14.25" spans="1:9">
      <c r="A355" s="94"/>
      <c r="B355" s="64" t="s">
        <v>55</v>
      </c>
      <c r="C355" s="65"/>
      <c r="D355" s="65"/>
      <c r="E355" s="86"/>
      <c r="F355" s="86"/>
      <c r="G355" s="91"/>
      <c r="H355" s="88"/>
      <c r="I355" s="86"/>
    </row>
    <row r="356" ht="14.25" spans="1:9">
      <c r="A356" s="94"/>
      <c r="B356" s="64" t="s">
        <v>32</v>
      </c>
      <c r="C356" s="65"/>
      <c r="D356" s="65"/>
      <c r="E356" s="84"/>
      <c r="F356" s="84"/>
      <c r="G356" s="85"/>
      <c r="H356" s="88"/>
      <c r="I356" s="84"/>
    </row>
    <row r="357" ht="60.75" spans="1:9">
      <c r="A357" s="94"/>
      <c r="B357" s="64" t="s">
        <v>151</v>
      </c>
      <c r="C357" s="65"/>
      <c r="D357" s="65"/>
      <c r="E357" s="84" t="s">
        <v>152</v>
      </c>
      <c r="F357" s="97" t="s">
        <v>153</v>
      </c>
      <c r="G357" s="85">
        <v>1</v>
      </c>
      <c r="H357" s="93"/>
      <c r="I357" s="84">
        <f>G357*H342</f>
        <v>80</v>
      </c>
    </row>
    <row r="358" ht="43" customHeight="1" spans="1:9">
      <c r="A358" s="94" t="s">
        <v>156</v>
      </c>
      <c r="B358" s="89" t="s">
        <v>76</v>
      </c>
      <c r="C358" s="90"/>
      <c r="D358" s="90"/>
      <c r="E358" s="84" t="s">
        <v>13</v>
      </c>
      <c r="F358" s="95">
        <v>1.62</v>
      </c>
      <c r="G358" s="85">
        <v>2.37</v>
      </c>
      <c r="H358" s="86">
        <v>60</v>
      </c>
      <c r="I358" s="84">
        <f>G358*$H$358</f>
        <v>142.2</v>
      </c>
    </row>
    <row r="359" ht="14.25" spans="1:9">
      <c r="A359" s="94"/>
      <c r="B359" s="64" t="s">
        <v>41</v>
      </c>
      <c r="C359" s="65"/>
      <c r="D359" s="65"/>
      <c r="E359" s="84" t="s">
        <v>13</v>
      </c>
      <c r="F359" s="84">
        <v>1.65</v>
      </c>
      <c r="G359" s="85">
        <v>2.37</v>
      </c>
      <c r="H359" s="88"/>
      <c r="I359" s="84">
        <f t="shared" ref="I359:I370" si="19">G359*$H$358</f>
        <v>142.2</v>
      </c>
    </row>
    <row r="360" ht="14.25" spans="1:9">
      <c r="A360" s="94"/>
      <c r="B360" s="64" t="s">
        <v>42</v>
      </c>
      <c r="C360" s="65"/>
      <c r="D360" s="65"/>
      <c r="E360" s="84" t="s">
        <v>13</v>
      </c>
      <c r="F360" s="84">
        <v>1.7</v>
      </c>
      <c r="G360" s="85">
        <v>2.37</v>
      </c>
      <c r="H360" s="88"/>
      <c r="I360" s="84">
        <f t="shared" si="19"/>
        <v>142.2</v>
      </c>
    </row>
    <row r="361" ht="39" customHeight="1" spans="1:9">
      <c r="A361" s="94"/>
      <c r="B361" s="89" t="s">
        <v>157</v>
      </c>
      <c r="C361" s="90"/>
      <c r="D361" s="90"/>
      <c r="E361" s="84" t="s">
        <v>13</v>
      </c>
      <c r="F361" s="84">
        <v>1.62</v>
      </c>
      <c r="G361" s="85">
        <v>0.71</v>
      </c>
      <c r="H361" s="88"/>
      <c r="I361" s="84">
        <f t="shared" si="19"/>
        <v>42.6</v>
      </c>
    </row>
    <row r="362" ht="14.25" spans="1:9">
      <c r="A362" s="94"/>
      <c r="B362" s="64" t="s">
        <v>41</v>
      </c>
      <c r="C362" s="65"/>
      <c r="D362" s="65"/>
      <c r="E362" s="84" t="s">
        <v>13</v>
      </c>
      <c r="F362" s="84">
        <v>1.65</v>
      </c>
      <c r="G362" s="85">
        <v>0.71</v>
      </c>
      <c r="H362" s="88"/>
      <c r="I362" s="84">
        <f t="shared" si="19"/>
        <v>42.6</v>
      </c>
    </row>
    <row r="363" ht="14.25" spans="1:9">
      <c r="A363" s="94"/>
      <c r="B363" s="64" t="s">
        <v>42</v>
      </c>
      <c r="C363" s="65"/>
      <c r="D363" s="65"/>
      <c r="E363" s="84" t="s">
        <v>13</v>
      </c>
      <c r="F363" s="84">
        <v>1.7</v>
      </c>
      <c r="G363" s="85">
        <v>0.71</v>
      </c>
      <c r="H363" s="88"/>
      <c r="I363" s="84">
        <f t="shared" si="19"/>
        <v>42.6</v>
      </c>
    </row>
    <row r="364" ht="14.25" spans="1:9">
      <c r="A364" s="94"/>
      <c r="B364" s="64" t="s">
        <v>44</v>
      </c>
      <c r="C364" s="65"/>
      <c r="D364" s="65"/>
      <c r="E364" s="84" t="s">
        <v>13</v>
      </c>
      <c r="F364" s="84">
        <v>1.8</v>
      </c>
      <c r="G364" s="85">
        <v>1.3</v>
      </c>
      <c r="H364" s="88"/>
      <c r="I364" s="84">
        <f t="shared" si="19"/>
        <v>78</v>
      </c>
    </row>
    <row r="365" ht="14.25" spans="1:9">
      <c r="A365" s="94"/>
      <c r="B365" s="64" t="s">
        <v>78</v>
      </c>
      <c r="C365" s="65"/>
      <c r="D365" s="65"/>
      <c r="E365" s="84" t="s">
        <v>13</v>
      </c>
      <c r="F365" s="84">
        <v>1.83</v>
      </c>
      <c r="G365" s="85">
        <v>1.3</v>
      </c>
      <c r="H365" s="88"/>
      <c r="I365" s="84">
        <f t="shared" si="19"/>
        <v>78</v>
      </c>
    </row>
    <row r="366" ht="14.25" spans="1:9">
      <c r="A366" s="94"/>
      <c r="B366" s="64" t="s">
        <v>42</v>
      </c>
      <c r="C366" s="65"/>
      <c r="D366" s="65"/>
      <c r="E366" s="84" t="s">
        <v>13</v>
      </c>
      <c r="F366" s="84">
        <v>1.9</v>
      </c>
      <c r="G366" s="85">
        <v>1.3</v>
      </c>
      <c r="H366" s="88"/>
      <c r="I366" s="84">
        <f t="shared" si="19"/>
        <v>78</v>
      </c>
    </row>
    <row r="367" ht="14.25" spans="1:9">
      <c r="A367" s="94"/>
      <c r="B367" s="64" t="s">
        <v>50</v>
      </c>
      <c r="C367" s="65"/>
      <c r="D367" s="65"/>
      <c r="E367" s="84" t="s">
        <v>13</v>
      </c>
      <c r="F367" s="84" t="s">
        <v>51</v>
      </c>
      <c r="G367" s="85">
        <v>5.1</v>
      </c>
      <c r="H367" s="88"/>
      <c r="I367" s="84">
        <f t="shared" si="19"/>
        <v>306</v>
      </c>
    </row>
    <row r="368" ht="14.25" spans="1:9">
      <c r="A368" s="94"/>
      <c r="B368" s="64" t="s">
        <v>48</v>
      </c>
      <c r="C368" s="65"/>
      <c r="D368" s="65"/>
      <c r="E368" s="84" t="s">
        <v>49</v>
      </c>
      <c r="F368" s="84" t="s">
        <v>69</v>
      </c>
      <c r="G368" s="85">
        <v>2</v>
      </c>
      <c r="H368" s="88"/>
      <c r="I368" s="84">
        <f t="shared" si="19"/>
        <v>120</v>
      </c>
    </row>
    <row r="369" ht="14.25" spans="1:9">
      <c r="A369" s="94"/>
      <c r="B369" s="64" t="s">
        <v>149</v>
      </c>
      <c r="C369" s="65"/>
      <c r="D369" s="65"/>
      <c r="E369" s="84" t="s">
        <v>13</v>
      </c>
      <c r="F369" s="84">
        <v>1.5</v>
      </c>
      <c r="G369" s="96">
        <v>0.3</v>
      </c>
      <c r="H369" s="88"/>
      <c r="I369" s="84">
        <f t="shared" si="19"/>
        <v>18</v>
      </c>
    </row>
    <row r="370" ht="14.25" spans="1:9">
      <c r="A370" s="94"/>
      <c r="B370" s="64" t="s">
        <v>150</v>
      </c>
      <c r="C370" s="65"/>
      <c r="D370" s="65"/>
      <c r="E370" s="86" t="s">
        <v>53</v>
      </c>
      <c r="F370" s="86" t="s">
        <v>54</v>
      </c>
      <c r="G370" s="91">
        <v>1</v>
      </c>
      <c r="H370" s="88"/>
      <c r="I370" s="84">
        <f t="shared" si="19"/>
        <v>60</v>
      </c>
    </row>
    <row r="371" ht="14.25" spans="1:9">
      <c r="A371" s="94"/>
      <c r="B371" s="64" t="s">
        <v>55</v>
      </c>
      <c r="C371" s="65"/>
      <c r="D371" s="65"/>
      <c r="E371" s="86"/>
      <c r="F371" s="86"/>
      <c r="G371" s="91"/>
      <c r="H371" s="88"/>
      <c r="I371" s="86"/>
    </row>
    <row r="372" ht="14.25" spans="1:9">
      <c r="A372" s="94"/>
      <c r="B372" s="64" t="s">
        <v>32</v>
      </c>
      <c r="C372" s="65"/>
      <c r="D372" s="65"/>
      <c r="E372" s="84"/>
      <c r="F372" s="84"/>
      <c r="G372" s="85"/>
      <c r="H372" s="88"/>
      <c r="I372" s="84"/>
    </row>
    <row r="373" ht="60.75" spans="1:9">
      <c r="A373" s="94"/>
      <c r="B373" s="64" t="s">
        <v>151</v>
      </c>
      <c r="C373" s="65"/>
      <c r="D373" s="65"/>
      <c r="E373" s="84" t="s">
        <v>152</v>
      </c>
      <c r="F373" s="97" t="s">
        <v>158</v>
      </c>
      <c r="G373" s="85">
        <v>1</v>
      </c>
      <c r="H373" s="93"/>
      <c r="I373" s="84">
        <f>G373*H358</f>
        <v>60</v>
      </c>
    </row>
    <row r="374" ht="36" customHeight="1" spans="1:9">
      <c r="A374" s="94" t="s">
        <v>159</v>
      </c>
      <c r="B374" s="89" t="s">
        <v>76</v>
      </c>
      <c r="C374" s="90"/>
      <c r="D374" s="90"/>
      <c r="E374" s="84" t="s">
        <v>13</v>
      </c>
      <c r="F374" s="95">
        <v>1.62</v>
      </c>
      <c r="G374" s="85">
        <v>3.02</v>
      </c>
      <c r="H374" s="86">
        <v>130</v>
      </c>
      <c r="I374" s="84">
        <f>G374*$H$374</f>
        <v>392.6</v>
      </c>
    </row>
    <row r="375" ht="14.25" spans="1:9">
      <c r="A375" s="94"/>
      <c r="B375" s="64" t="s">
        <v>41</v>
      </c>
      <c r="C375" s="65"/>
      <c r="D375" s="65"/>
      <c r="E375" s="84" t="s">
        <v>13</v>
      </c>
      <c r="F375" s="84">
        <v>1.65</v>
      </c>
      <c r="G375" s="85">
        <v>3.02</v>
      </c>
      <c r="H375" s="88"/>
      <c r="I375" s="84">
        <f t="shared" ref="I375:I383" si="20">G375*$H$374</f>
        <v>392.6</v>
      </c>
    </row>
    <row r="376" ht="14.25" spans="1:9">
      <c r="A376" s="94"/>
      <c r="B376" s="64" t="s">
        <v>42</v>
      </c>
      <c r="C376" s="65"/>
      <c r="D376" s="65"/>
      <c r="E376" s="84" t="s">
        <v>13</v>
      </c>
      <c r="F376" s="84">
        <v>1.7</v>
      </c>
      <c r="G376" s="85">
        <v>3.02</v>
      </c>
      <c r="H376" s="88"/>
      <c r="I376" s="84">
        <f t="shared" si="20"/>
        <v>392.6</v>
      </c>
    </row>
    <row r="377" ht="14.25" spans="1:9">
      <c r="A377" s="94"/>
      <c r="B377" s="64" t="s">
        <v>44</v>
      </c>
      <c r="C377" s="65"/>
      <c r="D377" s="65"/>
      <c r="E377" s="84" t="s">
        <v>13</v>
      </c>
      <c r="F377" s="84">
        <v>1.8</v>
      </c>
      <c r="G377" s="85">
        <v>1.3</v>
      </c>
      <c r="H377" s="88"/>
      <c r="I377" s="84">
        <f t="shared" si="20"/>
        <v>169</v>
      </c>
    </row>
    <row r="378" ht="14.25" spans="1:9">
      <c r="A378" s="94"/>
      <c r="B378" s="64" t="s">
        <v>78</v>
      </c>
      <c r="C378" s="65"/>
      <c r="D378" s="65"/>
      <c r="E378" s="84" t="s">
        <v>13</v>
      </c>
      <c r="F378" s="84">
        <v>1.83</v>
      </c>
      <c r="G378" s="85">
        <v>1.3</v>
      </c>
      <c r="H378" s="88"/>
      <c r="I378" s="84">
        <f t="shared" si="20"/>
        <v>169</v>
      </c>
    </row>
    <row r="379" ht="14.25" spans="1:9">
      <c r="A379" s="94"/>
      <c r="B379" s="64" t="s">
        <v>42</v>
      </c>
      <c r="C379" s="65"/>
      <c r="D379" s="65"/>
      <c r="E379" s="84" t="s">
        <v>13</v>
      </c>
      <c r="F379" s="84">
        <v>1.9</v>
      </c>
      <c r="G379" s="85">
        <v>1.3</v>
      </c>
      <c r="H379" s="88"/>
      <c r="I379" s="84">
        <f t="shared" si="20"/>
        <v>169</v>
      </c>
    </row>
    <row r="380" ht="14.25" spans="1:9">
      <c r="A380" s="94"/>
      <c r="B380" s="64" t="s">
        <v>50</v>
      </c>
      <c r="C380" s="65"/>
      <c r="D380" s="65"/>
      <c r="E380" s="84" t="s">
        <v>13</v>
      </c>
      <c r="F380" s="84" t="s">
        <v>51</v>
      </c>
      <c r="G380" s="85">
        <v>5.1</v>
      </c>
      <c r="H380" s="88"/>
      <c r="I380" s="84">
        <f t="shared" si="20"/>
        <v>663</v>
      </c>
    </row>
    <row r="381" ht="14.25" spans="1:9">
      <c r="A381" s="94"/>
      <c r="B381" s="64" t="s">
        <v>48</v>
      </c>
      <c r="C381" s="65"/>
      <c r="D381" s="65"/>
      <c r="E381" s="84" t="s">
        <v>49</v>
      </c>
      <c r="F381" s="84" t="s">
        <v>69</v>
      </c>
      <c r="G381" s="85">
        <v>2</v>
      </c>
      <c r="H381" s="88"/>
      <c r="I381" s="84">
        <f t="shared" si="20"/>
        <v>260</v>
      </c>
    </row>
    <row r="382" ht="14.25" spans="1:9">
      <c r="A382" s="94"/>
      <c r="B382" s="64" t="s">
        <v>149</v>
      </c>
      <c r="C382" s="65"/>
      <c r="D382" s="65"/>
      <c r="E382" s="84" t="s">
        <v>13</v>
      </c>
      <c r="F382" s="84">
        <v>1.5</v>
      </c>
      <c r="G382" s="96">
        <v>0.3</v>
      </c>
      <c r="H382" s="88"/>
      <c r="I382" s="84">
        <f t="shared" si="20"/>
        <v>39</v>
      </c>
    </row>
    <row r="383" ht="14.25" spans="1:9">
      <c r="A383" s="94"/>
      <c r="B383" s="64" t="s">
        <v>150</v>
      </c>
      <c r="C383" s="65"/>
      <c r="D383" s="65"/>
      <c r="E383" s="86" t="s">
        <v>53</v>
      </c>
      <c r="F383" s="86" t="s">
        <v>54</v>
      </c>
      <c r="G383" s="91">
        <v>1</v>
      </c>
      <c r="H383" s="88"/>
      <c r="I383" s="84">
        <f t="shared" si="20"/>
        <v>130</v>
      </c>
    </row>
    <row r="384" ht="14.25" spans="1:9">
      <c r="A384" s="94"/>
      <c r="B384" s="64" t="s">
        <v>55</v>
      </c>
      <c r="C384" s="65"/>
      <c r="D384" s="65"/>
      <c r="E384" s="86"/>
      <c r="F384" s="86"/>
      <c r="G384" s="91"/>
      <c r="H384" s="88"/>
      <c r="I384" s="86"/>
    </row>
    <row r="385" ht="14.25" spans="1:9">
      <c r="A385" s="94"/>
      <c r="B385" s="64" t="s">
        <v>32</v>
      </c>
      <c r="C385" s="65"/>
      <c r="D385" s="65"/>
      <c r="E385" s="84"/>
      <c r="F385" s="84"/>
      <c r="G385" s="85"/>
      <c r="H385" s="88"/>
      <c r="I385" s="84"/>
    </row>
    <row r="386" ht="60.75" spans="1:9">
      <c r="A386" s="94"/>
      <c r="B386" s="64" t="s">
        <v>151</v>
      </c>
      <c r="C386" s="65"/>
      <c r="D386" s="65"/>
      <c r="E386" s="84" t="s">
        <v>152</v>
      </c>
      <c r="F386" s="97" t="s">
        <v>153</v>
      </c>
      <c r="G386" s="85">
        <v>1</v>
      </c>
      <c r="H386" s="93"/>
      <c r="I386" s="84">
        <f>G386*H374</f>
        <v>130</v>
      </c>
    </row>
    <row r="387" ht="14.25" spans="1:9">
      <c r="A387" s="94" t="s">
        <v>160</v>
      </c>
      <c r="B387" s="64" t="s">
        <v>44</v>
      </c>
      <c r="C387" s="65"/>
      <c r="D387" s="65"/>
      <c r="E387" s="84" t="s">
        <v>13</v>
      </c>
      <c r="F387" s="84">
        <v>1.8</v>
      </c>
      <c r="G387" s="85">
        <v>2.55</v>
      </c>
      <c r="H387" s="86">
        <v>180</v>
      </c>
      <c r="I387" s="84">
        <f>G387*$H$387</f>
        <v>459</v>
      </c>
    </row>
    <row r="388" ht="14.25" spans="1:9">
      <c r="A388" s="94"/>
      <c r="B388" s="64" t="s">
        <v>161</v>
      </c>
      <c r="C388" s="65"/>
      <c r="D388" s="65"/>
      <c r="E388" s="84" t="s">
        <v>13</v>
      </c>
      <c r="F388" s="84">
        <v>1.83</v>
      </c>
      <c r="G388" s="85">
        <v>2.55</v>
      </c>
      <c r="H388" s="88"/>
      <c r="I388" s="84">
        <f t="shared" ref="I388:I399" si="21">G388*$H$387</f>
        <v>459</v>
      </c>
    </row>
    <row r="389" ht="14.25" spans="1:9">
      <c r="A389" s="94"/>
      <c r="B389" s="64" t="s">
        <v>42</v>
      </c>
      <c r="C389" s="65"/>
      <c r="D389" s="65"/>
      <c r="E389" s="84" t="s">
        <v>13</v>
      </c>
      <c r="F389" s="84">
        <v>1.85</v>
      </c>
      <c r="G389" s="85">
        <v>2.55</v>
      </c>
      <c r="H389" s="88"/>
      <c r="I389" s="84">
        <f t="shared" si="21"/>
        <v>459</v>
      </c>
    </row>
    <row r="390" ht="14.25" spans="1:9">
      <c r="A390" s="94"/>
      <c r="B390" s="64" t="s">
        <v>77</v>
      </c>
      <c r="C390" s="65"/>
      <c r="D390" s="65"/>
      <c r="E390" s="84" t="s">
        <v>13</v>
      </c>
      <c r="F390" s="84">
        <v>1.55</v>
      </c>
      <c r="G390" s="85">
        <v>0.3</v>
      </c>
      <c r="H390" s="88"/>
      <c r="I390" s="84">
        <f t="shared" si="21"/>
        <v>54</v>
      </c>
    </row>
    <row r="391" ht="14.25" spans="1:9">
      <c r="A391" s="94"/>
      <c r="B391" s="64" t="s">
        <v>41</v>
      </c>
      <c r="C391" s="65"/>
      <c r="D391" s="65"/>
      <c r="E391" s="84" t="s">
        <v>13</v>
      </c>
      <c r="F391" s="84">
        <v>1.58</v>
      </c>
      <c r="G391" s="85">
        <v>0.3</v>
      </c>
      <c r="H391" s="88"/>
      <c r="I391" s="84">
        <f t="shared" si="21"/>
        <v>54</v>
      </c>
    </row>
    <row r="392" ht="14.25" spans="1:9">
      <c r="A392" s="94"/>
      <c r="B392" s="64" t="s">
        <v>42</v>
      </c>
      <c r="C392" s="65"/>
      <c r="D392" s="65"/>
      <c r="E392" s="84" t="s">
        <v>13</v>
      </c>
      <c r="F392" s="84">
        <v>1.65</v>
      </c>
      <c r="G392" s="85">
        <v>0.3</v>
      </c>
      <c r="H392" s="88"/>
      <c r="I392" s="84">
        <f t="shared" si="21"/>
        <v>54</v>
      </c>
    </row>
    <row r="393" ht="14.25" spans="1:9">
      <c r="A393" s="94"/>
      <c r="B393" s="64" t="s">
        <v>44</v>
      </c>
      <c r="C393" s="65"/>
      <c r="D393" s="65"/>
      <c r="E393" s="84" t="s">
        <v>13</v>
      </c>
      <c r="F393" s="84">
        <v>1.8</v>
      </c>
      <c r="G393" s="85">
        <v>1.3</v>
      </c>
      <c r="H393" s="88"/>
      <c r="I393" s="84">
        <f t="shared" si="21"/>
        <v>234</v>
      </c>
    </row>
    <row r="394" ht="14.25" spans="1:9">
      <c r="A394" s="94"/>
      <c r="B394" s="64" t="s">
        <v>78</v>
      </c>
      <c r="C394" s="65"/>
      <c r="D394" s="65"/>
      <c r="E394" s="84" t="s">
        <v>13</v>
      </c>
      <c r="F394" s="84">
        <v>1.83</v>
      </c>
      <c r="G394" s="85">
        <v>1.3</v>
      </c>
      <c r="H394" s="88"/>
      <c r="I394" s="84">
        <f t="shared" si="21"/>
        <v>234</v>
      </c>
    </row>
    <row r="395" ht="14.25" spans="1:9">
      <c r="A395" s="94"/>
      <c r="B395" s="64" t="s">
        <v>42</v>
      </c>
      <c r="C395" s="65"/>
      <c r="D395" s="65"/>
      <c r="E395" s="84" t="s">
        <v>13</v>
      </c>
      <c r="F395" s="84">
        <v>1.85</v>
      </c>
      <c r="G395" s="85">
        <v>1.3</v>
      </c>
      <c r="H395" s="88"/>
      <c r="I395" s="84">
        <f t="shared" si="21"/>
        <v>234</v>
      </c>
    </row>
    <row r="396" ht="14.25" spans="1:9">
      <c r="A396" s="94"/>
      <c r="B396" s="64" t="s">
        <v>162</v>
      </c>
      <c r="C396" s="65"/>
      <c r="D396" s="65"/>
      <c r="E396" s="84" t="s">
        <v>13</v>
      </c>
      <c r="F396" s="84" t="s">
        <v>51</v>
      </c>
      <c r="G396" s="85">
        <v>4.4</v>
      </c>
      <c r="H396" s="88"/>
      <c r="I396" s="84">
        <f t="shared" si="21"/>
        <v>792</v>
      </c>
    </row>
    <row r="397" ht="14.25" spans="1:9">
      <c r="A397" s="94"/>
      <c r="B397" s="64" t="s">
        <v>48</v>
      </c>
      <c r="C397" s="65"/>
      <c r="D397" s="65"/>
      <c r="E397" s="84" t="s">
        <v>49</v>
      </c>
      <c r="F397" s="84" t="s">
        <v>69</v>
      </c>
      <c r="G397" s="85">
        <v>2</v>
      </c>
      <c r="H397" s="88"/>
      <c r="I397" s="84">
        <f t="shared" si="21"/>
        <v>360</v>
      </c>
    </row>
    <row r="398" ht="14.25" spans="1:9">
      <c r="A398" s="94"/>
      <c r="B398" s="64" t="s">
        <v>149</v>
      </c>
      <c r="C398" s="65"/>
      <c r="D398" s="65"/>
      <c r="E398" s="84" t="s">
        <v>13</v>
      </c>
      <c r="F398" s="84">
        <v>1.5</v>
      </c>
      <c r="G398" s="96">
        <v>0.21</v>
      </c>
      <c r="H398" s="88"/>
      <c r="I398" s="84">
        <f t="shared" si="21"/>
        <v>37.8</v>
      </c>
    </row>
    <row r="399" ht="14.25" spans="1:9">
      <c r="A399" s="94"/>
      <c r="B399" s="64" t="s">
        <v>150</v>
      </c>
      <c r="C399" s="65"/>
      <c r="D399" s="65"/>
      <c r="E399" s="86" t="s">
        <v>53</v>
      </c>
      <c r="F399" s="86" t="s">
        <v>54</v>
      </c>
      <c r="G399" s="91">
        <v>1</v>
      </c>
      <c r="H399" s="88"/>
      <c r="I399" s="84">
        <f t="shared" si="21"/>
        <v>180</v>
      </c>
    </row>
    <row r="400" ht="14.25" spans="1:9">
      <c r="A400" s="94"/>
      <c r="B400" s="64" t="s">
        <v>55</v>
      </c>
      <c r="C400" s="65"/>
      <c r="D400" s="65"/>
      <c r="E400" s="86"/>
      <c r="F400" s="86"/>
      <c r="G400" s="91"/>
      <c r="H400" s="88"/>
      <c r="I400" s="86"/>
    </row>
    <row r="401" ht="14.25" spans="1:9">
      <c r="A401" s="94"/>
      <c r="B401" s="64" t="s">
        <v>32</v>
      </c>
      <c r="C401" s="65"/>
      <c r="D401" s="65"/>
      <c r="E401" s="86"/>
      <c r="F401" s="86"/>
      <c r="G401" s="91"/>
      <c r="H401" s="88"/>
      <c r="I401" s="86"/>
    </row>
    <row r="402" ht="14.25" spans="1:9">
      <c r="A402" s="94"/>
      <c r="B402" s="64" t="s">
        <v>163</v>
      </c>
      <c r="C402" s="65"/>
      <c r="D402" s="65"/>
      <c r="E402" s="98" t="s">
        <v>30</v>
      </c>
      <c r="F402" s="86"/>
      <c r="G402" s="98">
        <v>8</v>
      </c>
      <c r="H402" s="88"/>
      <c r="I402" s="86">
        <f>G402*H387</f>
        <v>1440</v>
      </c>
    </row>
    <row r="403" ht="14.25" spans="1:9">
      <c r="A403" s="94" t="s">
        <v>164</v>
      </c>
      <c r="B403" s="64" t="s">
        <v>44</v>
      </c>
      <c r="C403" s="65"/>
      <c r="D403" s="65"/>
      <c r="E403" s="84" t="s">
        <v>13</v>
      </c>
      <c r="F403" s="84">
        <v>1.8</v>
      </c>
      <c r="G403" s="85">
        <v>2.55</v>
      </c>
      <c r="H403" s="86">
        <v>120</v>
      </c>
      <c r="I403" s="84">
        <f>G403*$H$403</f>
        <v>306</v>
      </c>
    </row>
    <row r="404" ht="14.25" spans="1:9">
      <c r="A404" s="94"/>
      <c r="B404" s="64" t="s">
        <v>161</v>
      </c>
      <c r="C404" s="65"/>
      <c r="D404" s="65"/>
      <c r="E404" s="84" t="s">
        <v>13</v>
      </c>
      <c r="F404" s="84">
        <v>1.83</v>
      </c>
      <c r="G404" s="85">
        <v>2.55</v>
      </c>
      <c r="H404" s="88"/>
      <c r="I404" s="84">
        <f t="shared" ref="I404:I415" si="22">G404*$H$403</f>
        <v>306</v>
      </c>
    </row>
    <row r="405" ht="14.25" spans="1:9">
      <c r="A405" s="94"/>
      <c r="B405" s="64" t="s">
        <v>42</v>
      </c>
      <c r="C405" s="65"/>
      <c r="D405" s="65"/>
      <c r="E405" s="84" t="s">
        <v>13</v>
      </c>
      <c r="F405" s="84">
        <v>1.85</v>
      </c>
      <c r="G405" s="85">
        <v>2.55</v>
      </c>
      <c r="H405" s="88"/>
      <c r="I405" s="84">
        <f t="shared" si="22"/>
        <v>306</v>
      </c>
    </row>
    <row r="406" ht="14.25" spans="1:9">
      <c r="A406" s="94"/>
      <c r="B406" s="64" t="s">
        <v>165</v>
      </c>
      <c r="C406" s="65"/>
      <c r="D406" s="65"/>
      <c r="E406" s="84" t="s">
        <v>13</v>
      </c>
      <c r="F406" s="84">
        <v>1.55</v>
      </c>
      <c r="G406" s="85">
        <v>0.3</v>
      </c>
      <c r="H406" s="88"/>
      <c r="I406" s="84">
        <f t="shared" si="22"/>
        <v>36</v>
      </c>
    </row>
    <row r="407" ht="14.25" spans="1:9">
      <c r="A407" s="94"/>
      <c r="B407" s="64" t="s">
        <v>41</v>
      </c>
      <c r="C407" s="65"/>
      <c r="D407" s="65"/>
      <c r="E407" s="84" t="s">
        <v>13</v>
      </c>
      <c r="F407" s="84">
        <v>1.58</v>
      </c>
      <c r="G407" s="85">
        <v>0.3</v>
      </c>
      <c r="H407" s="88"/>
      <c r="I407" s="84">
        <f t="shared" si="22"/>
        <v>36</v>
      </c>
    </row>
    <row r="408" ht="14.25" spans="1:9">
      <c r="A408" s="94"/>
      <c r="B408" s="64" t="s">
        <v>42</v>
      </c>
      <c r="C408" s="65"/>
      <c r="D408" s="65"/>
      <c r="E408" s="84" t="s">
        <v>13</v>
      </c>
      <c r="F408" s="84">
        <v>1.65</v>
      </c>
      <c r="G408" s="85">
        <v>0.3</v>
      </c>
      <c r="H408" s="88"/>
      <c r="I408" s="84">
        <f t="shared" si="22"/>
        <v>36</v>
      </c>
    </row>
    <row r="409" ht="14.25" spans="1:9">
      <c r="A409" s="94"/>
      <c r="B409" s="64" t="s">
        <v>44</v>
      </c>
      <c r="C409" s="65"/>
      <c r="D409" s="65"/>
      <c r="E409" s="84" t="s">
        <v>13</v>
      </c>
      <c r="F409" s="84">
        <v>1.8</v>
      </c>
      <c r="G409" s="85">
        <v>1.3</v>
      </c>
      <c r="H409" s="88"/>
      <c r="I409" s="84">
        <f t="shared" si="22"/>
        <v>156</v>
      </c>
    </row>
    <row r="410" ht="14.25" spans="1:9">
      <c r="A410" s="94"/>
      <c r="B410" s="64" t="s">
        <v>78</v>
      </c>
      <c r="C410" s="65"/>
      <c r="D410" s="65"/>
      <c r="E410" s="84" t="s">
        <v>13</v>
      </c>
      <c r="F410" s="84">
        <v>1.83</v>
      </c>
      <c r="G410" s="85">
        <v>1.3</v>
      </c>
      <c r="H410" s="88"/>
      <c r="I410" s="84">
        <f t="shared" si="22"/>
        <v>156</v>
      </c>
    </row>
    <row r="411" ht="14.25" spans="1:9">
      <c r="A411" s="94"/>
      <c r="B411" s="64" t="s">
        <v>42</v>
      </c>
      <c r="C411" s="65"/>
      <c r="D411" s="65"/>
      <c r="E411" s="84" t="s">
        <v>13</v>
      </c>
      <c r="F411" s="84">
        <v>1.85</v>
      </c>
      <c r="G411" s="85">
        <v>1.3</v>
      </c>
      <c r="H411" s="88"/>
      <c r="I411" s="84">
        <f t="shared" si="22"/>
        <v>156</v>
      </c>
    </row>
    <row r="412" ht="14.25" spans="1:9">
      <c r="A412" s="94"/>
      <c r="B412" s="64" t="s">
        <v>166</v>
      </c>
      <c r="C412" s="65"/>
      <c r="D412" s="65"/>
      <c r="E412" s="84" t="s">
        <v>13</v>
      </c>
      <c r="F412" s="84" t="s">
        <v>51</v>
      </c>
      <c r="G412" s="85">
        <v>4.4</v>
      </c>
      <c r="H412" s="88"/>
      <c r="I412" s="84">
        <f t="shared" si="22"/>
        <v>528</v>
      </c>
    </row>
    <row r="413" ht="14.25" spans="1:9">
      <c r="A413" s="94"/>
      <c r="B413" s="64" t="s">
        <v>48</v>
      </c>
      <c r="C413" s="65"/>
      <c r="D413" s="65"/>
      <c r="E413" s="84" t="s">
        <v>49</v>
      </c>
      <c r="F413" s="84" t="s">
        <v>69</v>
      </c>
      <c r="G413" s="85">
        <v>2</v>
      </c>
      <c r="H413" s="88"/>
      <c r="I413" s="84">
        <f t="shared" si="22"/>
        <v>240</v>
      </c>
    </row>
    <row r="414" ht="14.25" spans="1:9">
      <c r="A414" s="94"/>
      <c r="B414" s="64" t="s">
        <v>149</v>
      </c>
      <c r="C414" s="65"/>
      <c r="D414" s="65"/>
      <c r="E414" s="84" t="s">
        <v>13</v>
      </c>
      <c r="F414" s="84">
        <v>1.5</v>
      </c>
      <c r="G414" s="96">
        <v>0.21</v>
      </c>
      <c r="H414" s="88"/>
      <c r="I414" s="84">
        <f t="shared" si="22"/>
        <v>25.2</v>
      </c>
    </row>
    <row r="415" ht="14.25" spans="1:9">
      <c r="A415" s="94"/>
      <c r="B415" s="64" t="s">
        <v>150</v>
      </c>
      <c r="C415" s="65"/>
      <c r="D415" s="65"/>
      <c r="E415" s="86" t="s">
        <v>53</v>
      </c>
      <c r="F415" s="86" t="s">
        <v>54</v>
      </c>
      <c r="G415" s="91">
        <v>1</v>
      </c>
      <c r="H415" s="88"/>
      <c r="I415" s="84">
        <f t="shared" si="22"/>
        <v>120</v>
      </c>
    </row>
    <row r="416" ht="14.25" spans="1:9">
      <c r="A416" s="94"/>
      <c r="B416" s="64" t="s">
        <v>55</v>
      </c>
      <c r="C416" s="65"/>
      <c r="D416" s="65"/>
      <c r="E416" s="86"/>
      <c r="F416" s="86"/>
      <c r="G416" s="91"/>
      <c r="H416" s="88"/>
      <c r="I416" s="86"/>
    </row>
    <row r="417" ht="14.25" spans="1:9">
      <c r="A417" s="94"/>
      <c r="B417" s="64" t="s">
        <v>32</v>
      </c>
      <c r="C417" s="65"/>
      <c r="D417" s="65"/>
      <c r="E417" s="84"/>
      <c r="F417" s="84"/>
      <c r="G417" s="85"/>
      <c r="H417" s="88"/>
      <c r="I417" s="84"/>
    </row>
    <row r="418" ht="14.25" spans="1:9">
      <c r="A418" s="94"/>
      <c r="B418" s="64" t="s">
        <v>163</v>
      </c>
      <c r="C418" s="65"/>
      <c r="D418" s="65"/>
      <c r="E418" s="99" t="s">
        <v>30</v>
      </c>
      <c r="F418" s="84"/>
      <c r="G418" s="99">
        <v>8</v>
      </c>
      <c r="H418" s="93"/>
      <c r="I418" s="84">
        <f>G418*H403</f>
        <v>960</v>
      </c>
    </row>
    <row r="419" ht="14.25" spans="1:9">
      <c r="A419" s="83" t="s">
        <v>167</v>
      </c>
      <c r="B419" s="64" t="s">
        <v>44</v>
      </c>
      <c r="C419" s="65"/>
      <c r="D419" s="65"/>
      <c r="E419" s="84" t="s">
        <v>13</v>
      </c>
      <c r="F419" s="84">
        <v>1.8</v>
      </c>
      <c r="G419" s="85">
        <v>2.55</v>
      </c>
      <c r="H419" s="86">
        <v>150</v>
      </c>
      <c r="I419" s="84">
        <f>G419*$H$419</f>
        <v>382.5</v>
      </c>
    </row>
    <row r="420" ht="14.25" spans="1:9">
      <c r="A420" s="87"/>
      <c r="B420" s="64" t="s">
        <v>161</v>
      </c>
      <c r="C420" s="65"/>
      <c r="D420" s="65"/>
      <c r="E420" s="84" t="s">
        <v>13</v>
      </c>
      <c r="F420" s="84">
        <v>1.83</v>
      </c>
      <c r="G420" s="85">
        <v>2.55</v>
      </c>
      <c r="H420" s="88"/>
      <c r="I420" s="84">
        <f t="shared" ref="I420:I431" si="23">G420*$H$419</f>
        <v>382.5</v>
      </c>
    </row>
    <row r="421" ht="14.25" spans="1:9">
      <c r="A421" s="87"/>
      <c r="B421" s="64" t="s">
        <v>42</v>
      </c>
      <c r="C421" s="65"/>
      <c r="D421" s="65"/>
      <c r="E421" s="84" t="s">
        <v>13</v>
      </c>
      <c r="F421" s="84">
        <v>1.85</v>
      </c>
      <c r="G421" s="85">
        <v>2.55</v>
      </c>
      <c r="H421" s="88"/>
      <c r="I421" s="84">
        <f t="shared" si="23"/>
        <v>382.5</v>
      </c>
    </row>
    <row r="422" ht="14.25" spans="1:9">
      <c r="A422" s="87"/>
      <c r="B422" s="64" t="s">
        <v>86</v>
      </c>
      <c r="C422" s="65"/>
      <c r="D422" s="65"/>
      <c r="E422" s="84" t="s">
        <v>13</v>
      </c>
      <c r="F422" s="84">
        <v>1.55</v>
      </c>
      <c r="G422" s="85">
        <v>0.3</v>
      </c>
      <c r="H422" s="88"/>
      <c r="I422" s="84">
        <f t="shared" si="23"/>
        <v>45</v>
      </c>
    </row>
    <row r="423" ht="14.25" spans="1:9">
      <c r="A423" s="87"/>
      <c r="B423" s="64" t="s">
        <v>41</v>
      </c>
      <c r="C423" s="65"/>
      <c r="D423" s="65"/>
      <c r="E423" s="84" t="s">
        <v>13</v>
      </c>
      <c r="F423" s="84">
        <v>1.58</v>
      </c>
      <c r="G423" s="85">
        <v>0.3</v>
      </c>
      <c r="H423" s="88"/>
      <c r="I423" s="84">
        <f t="shared" si="23"/>
        <v>45</v>
      </c>
    </row>
    <row r="424" ht="14.25" spans="1:9">
      <c r="A424" s="87"/>
      <c r="B424" s="64" t="s">
        <v>42</v>
      </c>
      <c r="C424" s="65"/>
      <c r="D424" s="65"/>
      <c r="E424" s="84" t="s">
        <v>13</v>
      </c>
      <c r="F424" s="84">
        <v>1.65</v>
      </c>
      <c r="G424" s="85">
        <v>0.3</v>
      </c>
      <c r="H424" s="88"/>
      <c r="I424" s="84">
        <f t="shared" si="23"/>
        <v>45</v>
      </c>
    </row>
    <row r="425" ht="14.25" spans="1:9">
      <c r="A425" s="87"/>
      <c r="B425" s="64" t="s">
        <v>44</v>
      </c>
      <c r="C425" s="65"/>
      <c r="D425" s="65"/>
      <c r="E425" s="84" t="s">
        <v>13</v>
      </c>
      <c r="F425" s="84">
        <v>1.8</v>
      </c>
      <c r="G425" s="85">
        <v>1.3</v>
      </c>
      <c r="H425" s="88"/>
      <c r="I425" s="84">
        <f t="shared" si="23"/>
        <v>195</v>
      </c>
    </row>
    <row r="426" ht="14.25" spans="1:9">
      <c r="A426" s="87"/>
      <c r="B426" s="64" t="s">
        <v>78</v>
      </c>
      <c r="C426" s="65"/>
      <c r="D426" s="65"/>
      <c r="E426" s="84" t="s">
        <v>13</v>
      </c>
      <c r="F426" s="84">
        <v>1.83</v>
      </c>
      <c r="G426" s="85">
        <v>1.3</v>
      </c>
      <c r="H426" s="88"/>
      <c r="I426" s="84">
        <f t="shared" si="23"/>
        <v>195</v>
      </c>
    </row>
    <row r="427" ht="14.25" spans="1:9">
      <c r="A427" s="87"/>
      <c r="B427" s="64" t="s">
        <v>42</v>
      </c>
      <c r="C427" s="65"/>
      <c r="D427" s="65"/>
      <c r="E427" s="84" t="s">
        <v>13</v>
      </c>
      <c r="F427" s="84">
        <v>1.85</v>
      </c>
      <c r="G427" s="85">
        <v>1.3</v>
      </c>
      <c r="H427" s="88"/>
      <c r="I427" s="84">
        <f t="shared" si="23"/>
        <v>195</v>
      </c>
    </row>
    <row r="428" ht="14.25" spans="1:9">
      <c r="A428" s="87"/>
      <c r="B428" s="64" t="s">
        <v>168</v>
      </c>
      <c r="C428" s="65"/>
      <c r="D428" s="65"/>
      <c r="E428" s="84" t="s">
        <v>13</v>
      </c>
      <c r="F428" s="84" t="s">
        <v>51</v>
      </c>
      <c r="G428" s="85">
        <v>4.4</v>
      </c>
      <c r="H428" s="88"/>
      <c r="I428" s="84">
        <f t="shared" si="23"/>
        <v>660</v>
      </c>
    </row>
    <row r="429" ht="14.25" spans="1:9">
      <c r="A429" s="87"/>
      <c r="B429" s="64" t="s">
        <v>48</v>
      </c>
      <c r="C429" s="65"/>
      <c r="D429" s="65"/>
      <c r="E429" s="84" t="s">
        <v>49</v>
      </c>
      <c r="F429" s="84" t="s">
        <v>69</v>
      </c>
      <c r="G429" s="85">
        <v>2</v>
      </c>
      <c r="H429" s="88"/>
      <c r="I429" s="84">
        <f t="shared" si="23"/>
        <v>300</v>
      </c>
    </row>
    <row r="430" ht="14.25" spans="1:9">
      <c r="A430" s="87"/>
      <c r="B430" s="64" t="s">
        <v>149</v>
      </c>
      <c r="C430" s="65"/>
      <c r="D430" s="65"/>
      <c r="E430" s="84" t="s">
        <v>13</v>
      </c>
      <c r="F430" s="84">
        <v>1.5</v>
      </c>
      <c r="G430" s="96">
        <v>0.21</v>
      </c>
      <c r="H430" s="88"/>
      <c r="I430" s="84">
        <f t="shared" si="23"/>
        <v>31.5</v>
      </c>
    </row>
    <row r="431" ht="14.25" spans="1:9">
      <c r="A431" s="87"/>
      <c r="B431" s="64" t="s">
        <v>150</v>
      </c>
      <c r="C431" s="65"/>
      <c r="D431" s="65"/>
      <c r="E431" s="86" t="s">
        <v>53</v>
      </c>
      <c r="F431" s="86" t="s">
        <v>54</v>
      </c>
      <c r="G431" s="91">
        <v>1</v>
      </c>
      <c r="H431" s="88"/>
      <c r="I431" s="84">
        <f t="shared" si="23"/>
        <v>150</v>
      </c>
    </row>
    <row r="432" ht="14.25" spans="1:9">
      <c r="A432" s="87"/>
      <c r="B432" s="64" t="s">
        <v>55</v>
      </c>
      <c r="C432" s="65"/>
      <c r="D432" s="65"/>
      <c r="E432" s="86"/>
      <c r="F432" s="86"/>
      <c r="G432" s="91"/>
      <c r="H432" s="88"/>
      <c r="I432" s="86"/>
    </row>
    <row r="433" ht="14.25" spans="1:9">
      <c r="A433" s="87"/>
      <c r="B433" s="64" t="s">
        <v>32</v>
      </c>
      <c r="C433" s="65"/>
      <c r="D433" s="65"/>
      <c r="E433" s="84"/>
      <c r="F433" s="84"/>
      <c r="G433" s="85"/>
      <c r="H433" s="88"/>
      <c r="I433" s="84"/>
    </row>
    <row r="434" ht="14.25" spans="1:9">
      <c r="A434" s="92"/>
      <c r="B434" s="64" t="s">
        <v>163</v>
      </c>
      <c r="C434" s="65"/>
      <c r="D434" s="65"/>
      <c r="E434" s="99" t="s">
        <v>30</v>
      </c>
      <c r="F434" s="84"/>
      <c r="G434" s="100">
        <v>8</v>
      </c>
      <c r="H434" s="93"/>
      <c r="I434" s="84">
        <f>G434*H419</f>
        <v>1200</v>
      </c>
    </row>
    <row r="435" ht="14.25" spans="1:9">
      <c r="A435" s="83" t="s">
        <v>169</v>
      </c>
      <c r="B435" s="64" t="s">
        <v>44</v>
      </c>
      <c r="C435" s="65"/>
      <c r="D435" s="65"/>
      <c r="E435" s="84" t="s">
        <v>13</v>
      </c>
      <c r="F435" s="84">
        <v>1.8</v>
      </c>
      <c r="G435" s="85">
        <v>2.55</v>
      </c>
      <c r="H435" s="86">
        <v>210</v>
      </c>
      <c r="I435" s="84">
        <f>G435*$H$435</f>
        <v>535.5</v>
      </c>
    </row>
    <row r="436" ht="14.25" spans="1:9">
      <c r="A436" s="87"/>
      <c r="B436" s="64" t="s">
        <v>161</v>
      </c>
      <c r="C436" s="65"/>
      <c r="D436" s="65"/>
      <c r="E436" s="84" t="s">
        <v>13</v>
      </c>
      <c r="F436" s="84">
        <v>1.83</v>
      </c>
      <c r="G436" s="85">
        <v>2.55</v>
      </c>
      <c r="H436" s="88"/>
      <c r="I436" s="84">
        <f t="shared" ref="I436:I447" si="24">G436*$H$435</f>
        <v>535.5</v>
      </c>
    </row>
    <row r="437" ht="14.25" spans="1:9">
      <c r="A437" s="87"/>
      <c r="B437" s="64" t="s">
        <v>42</v>
      </c>
      <c r="C437" s="65"/>
      <c r="D437" s="65"/>
      <c r="E437" s="84" t="s">
        <v>13</v>
      </c>
      <c r="F437" s="84">
        <v>1.85</v>
      </c>
      <c r="G437" s="85">
        <v>2.55</v>
      </c>
      <c r="H437" s="88"/>
      <c r="I437" s="84">
        <f t="shared" si="24"/>
        <v>535.5</v>
      </c>
    </row>
    <row r="438" ht="14.25" spans="1:9">
      <c r="A438" s="87"/>
      <c r="B438" s="64" t="s">
        <v>170</v>
      </c>
      <c r="C438" s="65"/>
      <c r="D438" s="65"/>
      <c r="E438" s="84" t="s">
        <v>13</v>
      </c>
      <c r="F438" s="84">
        <v>1.55</v>
      </c>
      <c r="G438" s="85">
        <v>0.3</v>
      </c>
      <c r="H438" s="88"/>
      <c r="I438" s="84">
        <f t="shared" si="24"/>
        <v>63</v>
      </c>
    </row>
    <row r="439" ht="14.25" spans="1:9">
      <c r="A439" s="87"/>
      <c r="B439" s="64" t="s">
        <v>41</v>
      </c>
      <c r="C439" s="65"/>
      <c r="D439" s="65"/>
      <c r="E439" s="84" t="s">
        <v>13</v>
      </c>
      <c r="F439" s="84">
        <v>1.58</v>
      </c>
      <c r="G439" s="85">
        <v>0.3</v>
      </c>
      <c r="H439" s="88"/>
      <c r="I439" s="84">
        <f t="shared" si="24"/>
        <v>63</v>
      </c>
    </row>
    <row r="440" ht="14.25" spans="1:9">
      <c r="A440" s="87"/>
      <c r="B440" s="64" t="s">
        <v>42</v>
      </c>
      <c r="C440" s="65"/>
      <c r="D440" s="65"/>
      <c r="E440" s="84" t="s">
        <v>13</v>
      </c>
      <c r="F440" s="84">
        <v>1.65</v>
      </c>
      <c r="G440" s="85">
        <v>0.3</v>
      </c>
      <c r="H440" s="88"/>
      <c r="I440" s="84">
        <f t="shared" si="24"/>
        <v>63</v>
      </c>
    </row>
    <row r="441" ht="14.25" spans="1:9">
      <c r="A441" s="87"/>
      <c r="B441" s="64" t="s">
        <v>44</v>
      </c>
      <c r="C441" s="65"/>
      <c r="D441" s="65"/>
      <c r="E441" s="84" t="s">
        <v>13</v>
      </c>
      <c r="F441" s="84">
        <v>1.8</v>
      </c>
      <c r="G441" s="85">
        <v>1.3</v>
      </c>
      <c r="H441" s="88"/>
      <c r="I441" s="84">
        <f t="shared" si="24"/>
        <v>273</v>
      </c>
    </row>
    <row r="442" ht="14.25" spans="1:9">
      <c r="A442" s="87"/>
      <c r="B442" s="64" t="s">
        <v>78</v>
      </c>
      <c r="C442" s="65"/>
      <c r="D442" s="65"/>
      <c r="E442" s="84" t="s">
        <v>13</v>
      </c>
      <c r="F442" s="84">
        <v>1.83</v>
      </c>
      <c r="G442" s="85">
        <v>1.3</v>
      </c>
      <c r="H442" s="88"/>
      <c r="I442" s="84">
        <f t="shared" si="24"/>
        <v>273</v>
      </c>
    </row>
    <row r="443" ht="14.25" spans="1:9">
      <c r="A443" s="87"/>
      <c r="B443" s="64" t="s">
        <v>42</v>
      </c>
      <c r="C443" s="65"/>
      <c r="D443" s="65"/>
      <c r="E443" s="84" t="s">
        <v>13</v>
      </c>
      <c r="F443" s="84">
        <v>1.85</v>
      </c>
      <c r="G443" s="85">
        <v>1.3</v>
      </c>
      <c r="H443" s="88"/>
      <c r="I443" s="84">
        <f t="shared" si="24"/>
        <v>273</v>
      </c>
    </row>
    <row r="444" ht="14.25" spans="1:9">
      <c r="A444" s="87"/>
      <c r="B444" s="64" t="s">
        <v>171</v>
      </c>
      <c r="C444" s="65"/>
      <c r="D444" s="65"/>
      <c r="E444" s="84" t="s">
        <v>13</v>
      </c>
      <c r="F444" s="84" t="s">
        <v>51</v>
      </c>
      <c r="G444" s="85">
        <v>4.4</v>
      </c>
      <c r="H444" s="88"/>
      <c r="I444" s="84">
        <f t="shared" si="24"/>
        <v>924</v>
      </c>
    </row>
    <row r="445" ht="14.25" spans="1:9">
      <c r="A445" s="87"/>
      <c r="B445" s="64" t="s">
        <v>48</v>
      </c>
      <c r="C445" s="65"/>
      <c r="D445" s="65"/>
      <c r="E445" s="84" t="s">
        <v>49</v>
      </c>
      <c r="F445" s="84" t="s">
        <v>69</v>
      </c>
      <c r="G445" s="85">
        <v>2</v>
      </c>
      <c r="H445" s="88"/>
      <c r="I445" s="84">
        <f t="shared" si="24"/>
        <v>420</v>
      </c>
    </row>
    <row r="446" ht="14.25" spans="1:9">
      <c r="A446" s="87"/>
      <c r="B446" s="64" t="s">
        <v>149</v>
      </c>
      <c r="C446" s="65"/>
      <c r="D446" s="65"/>
      <c r="E446" s="84" t="s">
        <v>13</v>
      </c>
      <c r="F446" s="84">
        <v>1.5</v>
      </c>
      <c r="G446" s="96">
        <v>0.21</v>
      </c>
      <c r="H446" s="88"/>
      <c r="I446" s="84">
        <f t="shared" si="24"/>
        <v>44.1</v>
      </c>
    </row>
    <row r="447" ht="14.25" spans="1:9">
      <c r="A447" s="87"/>
      <c r="B447" s="64" t="s">
        <v>150</v>
      </c>
      <c r="C447" s="65"/>
      <c r="D447" s="65"/>
      <c r="E447" s="86" t="s">
        <v>53</v>
      </c>
      <c r="F447" s="86" t="s">
        <v>54</v>
      </c>
      <c r="G447" s="91">
        <v>1</v>
      </c>
      <c r="H447" s="88"/>
      <c r="I447" s="84">
        <f t="shared" si="24"/>
        <v>210</v>
      </c>
    </row>
    <row r="448" ht="14.25" spans="1:9">
      <c r="A448" s="87"/>
      <c r="B448" s="64" t="s">
        <v>55</v>
      </c>
      <c r="C448" s="65"/>
      <c r="D448" s="65"/>
      <c r="E448" s="86"/>
      <c r="F448" s="86"/>
      <c r="G448" s="91"/>
      <c r="H448" s="88"/>
      <c r="I448" s="86"/>
    </row>
    <row r="449" ht="14.25" spans="1:9">
      <c r="A449" s="87"/>
      <c r="B449" s="64" t="s">
        <v>32</v>
      </c>
      <c r="C449" s="65"/>
      <c r="D449" s="65"/>
      <c r="E449" s="84"/>
      <c r="F449" s="84"/>
      <c r="G449" s="85"/>
      <c r="H449" s="88"/>
      <c r="I449" s="84"/>
    </row>
    <row r="450" ht="14.25" spans="1:9">
      <c r="A450" s="92"/>
      <c r="B450" s="64" t="s">
        <v>163</v>
      </c>
      <c r="C450" s="65"/>
      <c r="D450" s="65"/>
      <c r="E450" s="99" t="s">
        <v>30</v>
      </c>
      <c r="F450" s="84"/>
      <c r="G450" s="99">
        <v>8</v>
      </c>
      <c r="H450" s="93"/>
      <c r="I450" s="84">
        <f>G450*H435</f>
        <v>1680</v>
      </c>
    </row>
    <row r="451" ht="14.25" spans="1:9">
      <c r="A451" s="83" t="s">
        <v>172</v>
      </c>
      <c r="B451" s="101" t="s">
        <v>96</v>
      </c>
      <c r="C451" s="102"/>
      <c r="D451" s="103"/>
      <c r="E451" s="84" t="s">
        <v>13</v>
      </c>
      <c r="F451" s="84">
        <v>1.6</v>
      </c>
      <c r="G451" s="85">
        <v>1.55</v>
      </c>
      <c r="H451" s="86">
        <v>80</v>
      </c>
      <c r="I451" s="84">
        <f>G451*$H$451</f>
        <v>124</v>
      </c>
    </row>
    <row r="452" ht="14.25" spans="1:9">
      <c r="A452" s="87"/>
      <c r="B452" s="101" t="s">
        <v>97</v>
      </c>
      <c r="C452" s="102"/>
      <c r="D452" s="103"/>
      <c r="E452" s="84" t="s">
        <v>13</v>
      </c>
      <c r="F452" s="84">
        <v>1.63</v>
      </c>
      <c r="G452" s="85">
        <v>1.55</v>
      </c>
      <c r="H452" s="88"/>
      <c r="I452" s="84">
        <f t="shared" ref="I452:I479" si="25">G452*$H$451</f>
        <v>124</v>
      </c>
    </row>
    <row r="453" ht="14.25" spans="1:9">
      <c r="A453" s="87"/>
      <c r="B453" s="101" t="s">
        <v>96</v>
      </c>
      <c r="C453" s="102"/>
      <c r="D453" s="103"/>
      <c r="E453" s="84" t="s">
        <v>13</v>
      </c>
      <c r="F453" s="84">
        <v>1.6</v>
      </c>
      <c r="G453" s="85">
        <v>0.28</v>
      </c>
      <c r="H453" s="88"/>
      <c r="I453" s="84">
        <f t="shared" si="25"/>
        <v>22.4</v>
      </c>
    </row>
    <row r="454" ht="14.25" spans="1:9">
      <c r="A454" s="87"/>
      <c r="B454" s="101" t="s">
        <v>97</v>
      </c>
      <c r="C454" s="102"/>
      <c r="D454" s="103"/>
      <c r="E454" s="84" t="s">
        <v>13</v>
      </c>
      <c r="F454" s="84">
        <v>1.63</v>
      </c>
      <c r="G454" s="85">
        <v>0.28</v>
      </c>
      <c r="H454" s="88"/>
      <c r="I454" s="84">
        <f t="shared" si="25"/>
        <v>22.4</v>
      </c>
    </row>
    <row r="455" ht="14.25" spans="1:9">
      <c r="A455" s="87"/>
      <c r="B455" s="101" t="s">
        <v>98</v>
      </c>
      <c r="C455" s="102"/>
      <c r="D455" s="103"/>
      <c r="E455" s="84" t="s">
        <v>13</v>
      </c>
      <c r="F455" s="84">
        <v>1.65</v>
      </c>
      <c r="G455" s="85">
        <v>0.28</v>
      </c>
      <c r="H455" s="88"/>
      <c r="I455" s="84">
        <f t="shared" si="25"/>
        <v>22.4</v>
      </c>
    </row>
    <row r="456" ht="14.25" spans="1:9">
      <c r="A456" s="87"/>
      <c r="B456" s="101" t="s">
        <v>173</v>
      </c>
      <c r="C456" s="102"/>
      <c r="D456" s="103"/>
      <c r="E456" s="84" t="s">
        <v>13</v>
      </c>
      <c r="F456" s="84">
        <v>1.6</v>
      </c>
      <c r="G456" s="85">
        <v>1.08</v>
      </c>
      <c r="H456" s="88"/>
      <c r="I456" s="84">
        <f t="shared" si="25"/>
        <v>86.4</v>
      </c>
    </row>
    <row r="457" ht="14.25" spans="1:9">
      <c r="A457" s="87"/>
      <c r="B457" s="101" t="s">
        <v>97</v>
      </c>
      <c r="C457" s="102"/>
      <c r="D457" s="103"/>
      <c r="E457" s="84" t="s">
        <v>13</v>
      </c>
      <c r="F457" s="84">
        <v>1.63</v>
      </c>
      <c r="G457" s="85">
        <v>1.08</v>
      </c>
      <c r="H457" s="88"/>
      <c r="I457" s="84">
        <f t="shared" si="25"/>
        <v>86.4</v>
      </c>
    </row>
    <row r="458" ht="14.25" spans="1:9">
      <c r="A458" s="87"/>
      <c r="B458" s="101" t="s">
        <v>96</v>
      </c>
      <c r="C458" s="102"/>
      <c r="D458" s="103"/>
      <c r="E458" s="84" t="s">
        <v>13</v>
      </c>
      <c r="F458" s="84">
        <v>1.6</v>
      </c>
      <c r="G458" s="85">
        <v>1.18</v>
      </c>
      <c r="H458" s="88"/>
      <c r="I458" s="84">
        <f t="shared" si="25"/>
        <v>94.4</v>
      </c>
    </row>
    <row r="459" ht="14.25" spans="1:9">
      <c r="A459" s="87"/>
      <c r="B459" s="101" t="s">
        <v>124</v>
      </c>
      <c r="C459" s="102"/>
      <c r="D459" s="103"/>
      <c r="E459" s="84" t="s">
        <v>13</v>
      </c>
      <c r="F459" s="84">
        <v>1.63</v>
      </c>
      <c r="G459" s="85">
        <v>1.18</v>
      </c>
      <c r="H459" s="88"/>
      <c r="I459" s="84">
        <f t="shared" si="25"/>
        <v>94.4</v>
      </c>
    </row>
    <row r="460" ht="14.25" spans="1:9">
      <c r="A460" s="87"/>
      <c r="B460" s="101" t="s">
        <v>100</v>
      </c>
      <c r="C460" s="102"/>
      <c r="D460" s="103"/>
      <c r="E460" s="84" t="s">
        <v>13</v>
      </c>
      <c r="F460" s="84">
        <v>1.65</v>
      </c>
      <c r="G460" s="85">
        <v>1.18</v>
      </c>
      <c r="H460" s="88"/>
      <c r="I460" s="84">
        <f t="shared" si="25"/>
        <v>94.4</v>
      </c>
    </row>
    <row r="461" ht="14.25" spans="1:9">
      <c r="A461" s="87"/>
      <c r="B461" s="101" t="s">
        <v>101</v>
      </c>
      <c r="C461" s="102"/>
      <c r="D461" s="103"/>
      <c r="E461" s="84" t="s">
        <v>13</v>
      </c>
      <c r="F461" s="84">
        <v>1.8</v>
      </c>
      <c r="G461" s="85">
        <v>1.8</v>
      </c>
      <c r="H461" s="88"/>
      <c r="I461" s="84">
        <f t="shared" si="25"/>
        <v>144</v>
      </c>
    </row>
    <row r="462" ht="14.25" spans="1:9">
      <c r="A462" s="87"/>
      <c r="B462" s="104" t="s">
        <v>174</v>
      </c>
      <c r="C462" s="105"/>
      <c r="D462" s="106"/>
      <c r="E462" s="84" t="s">
        <v>13</v>
      </c>
      <c r="F462" s="84">
        <v>1.83</v>
      </c>
      <c r="G462" s="85">
        <v>1.8</v>
      </c>
      <c r="H462" s="88"/>
      <c r="I462" s="84">
        <f t="shared" si="25"/>
        <v>144</v>
      </c>
    </row>
    <row r="463" ht="14.25" spans="1:9">
      <c r="A463" s="87"/>
      <c r="B463" s="101" t="s">
        <v>175</v>
      </c>
      <c r="C463" s="102"/>
      <c r="D463" s="103"/>
      <c r="E463" s="84" t="s">
        <v>13</v>
      </c>
      <c r="F463" s="84">
        <v>1.55</v>
      </c>
      <c r="G463" s="85">
        <v>0.15</v>
      </c>
      <c r="H463" s="88"/>
      <c r="I463" s="84">
        <f t="shared" si="25"/>
        <v>12</v>
      </c>
    </row>
    <row r="464" ht="14.25" spans="1:9">
      <c r="A464" s="87"/>
      <c r="B464" s="101" t="s">
        <v>174</v>
      </c>
      <c r="C464" s="102"/>
      <c r="D464" s="103"/>
      <c r="E464" s="84" t="s">
        <v>13</v>
      </c>
      <c r="F464" s="84">
        <v>1.58</v>
      </c>
      <c r="G464" s="85">
        <v>0.15</v>
      </c>
      <c r="H464" s="88"/>
      <c r="I464" s="84">
        <f t="shared" si="25"/>
        <v>12</v>
      </c>
    </row>
    <row r="465" ht="14.25" spans="1:9">
      <c r="A465" s="87"/>
      <c r="B465" s="101" t="s">
        <v>103</v>
      </c>
      <c r="C465" s="102"/>
      <c r="D465" s="103"/>
      <c r="E465" s="84" t="s">
        <v>13</v>
      </c>
      <c r="F465" s="84">
        <v>1.15</v>
      </c>
      <c r="G465" s="85">
        <v>1.9</v>
      </c>
      <c r="H465" s="88"/>
      <c r="I465" s="84">
        <f t="shared" si="25"/>
        <v>152</v>
      </c>
    </row>
    <row r="466" ht="14.25" spans="1:9">
      <c r="A466" s="87"/>
      <c r="B466" s="101" t="s">
        <v>104</v>
      </c>
      <c r="C466" s="102"/>
      <c r="D466" s="103"/>
      <c r="E466" s="84" t="s">
        <v>13</v>
      </c>
      <c r="F466" s="84">
        <v>1.7</v>
      </c>
      <c r="G466" s="85">
        <v>0.52</v>
      </c>
      <c r="H466" s="88"/>
      <c r="I466" s="84">
        <f t="shared" si="25"/>
        <v>41.6</v>
      </c>
    </row>
    <row r="467" ht="14.25" spans="1:9">
      <c r="A467" s="87"/>
      <c r="B467" s="101" t="s">
        <v>176</v>
      </c>
      <c r="C467" s="102"/>
      <c r="D467" s="103"/>
      <c r="E467" s="84" t="s">
        <v>13</v>
      </c>
      <c r="F467" s="84">
        <v>1.7</v>
      </c>
      <c r="G467" s="85">
        <v>0.7</v>
      </c>
      <c r="H467" s="88"/>
      <c r="I467" s="84">
        <f t="shared" si="25"/>
        <v>56</v>
      </c>
    </row>
    <row r="468" ht="14.25" spans="1:9">
      <c r="A468" s="87"/>
      <c r="B468" s="101" t="s">
        <v>177</v>
      </c>
      <c r="C468" s="102"/>
      <c r="D468" s="103"/>
      <c r="E468" s="84" t="s">
        <v>13</v>
      </c>
      <c r="F468" s="84">
        <v>1.5</v>
      </c>
      <c r="G468" s="85">
        <v>0.25</v>
      </c>
      <c r="H468" s="88"/>
      <c r="I468" s="84">
        <f t="shared" si="25"/>
        <v>20</v>
      </c>
    </row>
    <row r="469" ht="14.25" spans="1:9">
      <c r="A469" s="87"/>
      <c r="B469" s="107" t="s">
        <v>178</v>
      </c>
      <c r="C469" s="108"/>
      <c r="D469" s="109"/>
      <c r="E469" s="84" t="s">
        <v>13</v>
      </c>
      <c r="F469" s="84" t="s">
        <v>54</v>
      </c>
      <c r="G469" s="85">
        <v>7.3</v>
      </c>
      <c r="H469" s="88"/>
      <c r="I469" s="84">
        <f t="shared" si="25"/>
        <v>584</v>
      </c>
    </row>
    <row r="470" ht="14.25" spans="1:9">
      <c r="A470" s="87"/>
      <c r="B470" s="104" t="s">
        <v>179</v>
      </c>
      <c r="C470" s="105"/>
      <c r="D470" s="106"/>
      <c r="E470" s="84" t="s">
        <v>13</v>
      </c>
      <c r="F470" s="84" t="s">
        <v>54</v>
      </c>
      <c r="G470" s="85">
        <v>0.35</v>
      </c>
      <c r="H470" s="88"/>
      <c r="I470" s="84">
        <f t="shared" si="25"/>
        <v>28</v>
      </c>
    </row>
    <row r="471" ht="14.25" spans="1:9">
      <c r="A471" s="87"/>
      <c r="B471" s="101" t="s">
        <v>108</v>
      </c>
      <c r="C471" s="102"/>
      <c r="D471" s="102"/>
      <c r="E471" s="84" t="s">
        <v>13</v>
      </c>
      <c r="F471" s="84" t="s">
        <v>109</v>
      </c>
      <c r="G471" s="85">
        <v>31</v>
      </c>
      <c r="H471" s="88"/>
      <c r="I471" s="84">
        <f t="shared" si="25"/>
        <v>2480</v>
      </c>
    </row>
    <row r="472" ht="14.25" spans="1:9">
      <c r="A472" s="87"/>
      <c r="B472" s="101" t="s">
        <v>110</v>
      </c>
      <c r="C472" s="102"/>
      <c r="D472" s="102"/>
      <c r="E472" s="84" t="s">
        <v>60</v>
      </c>
      <c r="F472" s="84" t="s">
        <v>54</v>
      </c>
      <c r="G472" s="85">
        <v>2</v>
      </c>
      <c r="H472" s="88"/>
      <c r="I472" s="84">
        <f t="shared" si="25"/>
        <v>160</v>
      </c>
    </row>
    <row r="473" ht="14.25" spans="1:9">
      <c r="A473" s="87"/>
      <c r="B473" s="101" t="s">
        <v>111</v>
      </c>
      <c r="C473" s="102"/>
      <c r="D473" s="102"/>
      <c r="E473" s="84" t="s">
        <v>53</v>
      </c>
      <c r="F473" s="84" t="s">
        <v>54</v>
      </c>
      <c r="G473" s="85">
        <v>1</v>
      </c>
      <c r="H473" s="88"/>
      <c r="I473" s="84">
        <f t="shared" si="25"/>
        <v>80</v>
      </c>
    </row>
    <row r="474" ht="14.25" spans="1:9">
      <c r="A474" s="87"/>
      <c r="B474" s="101" t="s">
        <v>112</v>
      </c>
      <c r="C474" s="102"/>
      <c r="D474" s="102"/>
      <c r="E474" s="84" t="s">
        <v>113</v>
      </c>
      <c r="F474" s="84" t="s">
        <v>54</v>
      </c>
      <c r="G474" s="85">
        <v>2</v>
      </c>
      <c r="H474" s="88"/>
      <c r="I474" s="84">
        <f t="shared" si="25"/>
        <v>160</v>
      </c>
    </row>
    <row r="475" ht="14.25" spans="1:9">
      <c r="A475" s="87"/>
      <c r="B475" s="101" t="s">
        <v>114</v>
      </c>
      <c r="C475" s="102"/>
      <c r="D475" s="102"/>
      <c r="E475" s="84" t="s">
        <v>13</v>
      </c>
      <c r="F475" s="84" t="s">
        <v>54</v>
      </c>
      <c r="G475" s="85">
        <v>1</v>
      </c>
      <c r="H475" s="88"/>
      <c r="I475" s="84">
        <f t="shared" si="25"/>
        <v>80</v>
      </c>
    </row>
    <row r="476" ht="14.25" spans="1:9">
      <c r="A476" s="87"/>
      <c r="B476" s="101" t="s">
        <v>115</v>
      </c>
      <c r="C476" s="102"/>
      <c r="D476" s="102"/>
      <c r="E476" s="84" t="s">
        <v>19</v>
      </c>
      <c r="F476" s="84" t="s">
        <v>54</v>
      </c>
      <c r="G476" s="85">
        <v>4</v>
      </c>
      <c r="H476" s="88"/>
      <c r="I476" s="84">
        <f t="shared" si="25"/>
        <v>320</v>
      </c>
    </row>
    <row r="477" ht="14.25" spans="1:9">
      <c r="A477" s="87"/>
      <c r="B477" s="101" t="s">
        <v>116</v>
      </c>
      <c r="C477" s="102"/>
      <c r="D477" s="102"/>
      <c r="E477" s="84" t="s">
        <v>13</v>
      </c>
      <c r="F477" s="84" t="s">
        <v>117</v>
      </c>
      <c r="G477" s="85">
        <v>7.5</v>
      </c>
      <c r="H477" s="88"/>
      <c r="I477" s="84">
        <f t="shared" si="25"/>
        <v>600</v>
      </c>
    </row>
    <row r="478" ht="14.25" spans="1:9">
      <c r="A478" s="87"/>
      <c r="B478" s="101" t="s">
        <v>118</v>
      </c>
      <c r="C478" s="102"/>
      <c r="D478" s="102"/>
      <c r="E478" s="84" t="s">
        <v>13</v>
      </c>
      <c r="F478" s="84" t="s">
        <v>119</v>
      </c>
      <c r="G478" s="85">
        <v>1</v>
      </c>
      <c r="H478" s="88"/>
      <c r="I478" s="84">
        <f t="shared" si="25"/>
        <v>80</v>
      </c>
    </row>
    <row r="479" ht="14.25" spans="1:9">
      <c r="A479" s="87"/>
      <c r="B479" s="110" t="s">
        <v>48</v>
      </c>
      <c r="C479" s="111"/>
      <c r="D479" s="111"/>
      <c r="E479" s="84" t="s">
        <v>49</v>
      </c>
      <c r="F479" s="84" t="s">
        <v>69</v>
      </c>
      <c r="G479" s="85">
        <v>2</v>
      </c>
      <c r="H479" s="88"/>
      <c r="I479" s="84">
        <f t="shared" si="25"/>
        <v>160</v>
      </c>
    </row>
    <row r="480" ht="14.25" spans="1:9">
      <c r="A480" s="92"/>
      <c r="B480" s="104" t="s">
        <v>32</v>
      </c>
      <c r="C480" s="105"/>
      <c r="D480" s="106"/>
      <c r="E480" s="84"/>
      <c r="F480" s="84"/>
      <c r="G480" s="85"/>
      <c r="H480" s="93"/>
      <c r="I480" s="84"/>
    </row>
    <row r="481" ht="14.25" spans="1:9">
      <c r="A481" s="83" t="s">
        <v>180</v>
      </c>
      <c r="B481" s="101" t="s">
        <v>96</v>
      </c>
      <c r="C481" s="102"/>
      <c r="D481" s="103"/>
      <c r="E481" s="84" t="s">
        <v>13</v>
      </c>
      <c r="F481" s="84">
        <v>1.6</v>
      </c>
      <c r="G481" s="85">
        <v>1.55</v>
      </c>
      <c r="H481" s="86">
        <v>160</v>
      </c>
      <c r="I481" s="84">
        <f>G481*$H$481</f>
        <v>248</v>
      </c>
    </row>
    <row r="482" ht="14.25" spans="1:9">
      <c r="A482" s="87"/>
      <c r="B482" s="101" t="s">
        <v>181</v>
      </c>
      <c r="C482" s="102"/>
      <c r="D482" s="103"/>
      <c r="E482" s="84" t="s">
        <v>13</v>
      </c>
      <c r="F482" s="84">
        <v>1.63</v>
      </c>
      <c r="G482" s="85">
        <v>1.55</v>
      </c>
      <c r="H482" s="88"/>
      <c r="I482" s="84">
        <f t="shared" ref="I482:I509" si="26">G482*$H$481</f>
        <v>248</v>
      </c>
    </row>
    <row r="483" ht="14.25" spans="1:9">
      <c r="A483" s="87"/>
      <c r="B483" s="101" t="s">
        <v>96</v>
      </c>
      <c r="C483" s="102"/>
      <c r="D483" s="103"/>
      <c r="E483" s="84" t="s">
        <v>13</v>
      </c>
      <c r="F483" s="84">
        <v>1.6</v>
      </c>
      <c r="G483" s="85">
        <v>0.28</v>
      </c>
      <c r="H483" s="88"/>
      <c r="I483" s="84">
        <f t="shared" si="26"/>
        <v>44.8</v>
      </c>
    </row>
    <row r="484" ht="14.25" spans="1:9">
      <c r="A484" s="87"/>
      <c r="B484" s="101" t="s">
        <v>181</v>
      </c>
      <c r="C484" s="102"/>
      <c r="D484" s="103"/>
      <c r="E484" s="84" t="s">
        <v>13</v>
      </c>
      <c r="F484" s="84">
        <v>1.63</v>
      </c>
      <c r="G484" s="85">
        <v>0.28</v>
      </c>
      <c r="H484" s="88"/>
      <c r="I484" s="84">
        <f t="shared" si="26"/>
        <v>44.8</v>
      </c>
    </row>
    <row r="485" ht="14.25" spans="1:9">
      <c r="A485" s="87"/>
      <c r="B485" s="101" t="s">
        <v>98</v>
      </c>
      <c r="C485" s="102"/>
      <c r="D485" s="103"/>
      <c r="E485" s="84" t="s">
        <v>13</v>
      </c>
      <c r="F485" s="84">
        <v>1.65</v>
      </c>
      <c r="G485" s="85">
        <v>0.28</v>
      </c>
      <c r="H485" s="88"/>
      <c r="I485" s="84">
        <f t="shared" si="26"/>
        <v>44.8</v>
      </c>
    </row>
    <row r="486" ht="14.25" spans="1:9">
      <c r="A486" s="87"/>
      <c r="B486" s="101" t="s">
        <v>182</v>
      </c>
      <c r="C486" s="102"/>
      <c r="D486" s="103"/>
      <c r="E486" s="84" t="s">
        <v>13</v>
      </c>
      <c r="F486" s="84">
        <v>1.6</v>
      </c>
      <c r="G486" s="85">
        <v>1.08</v>
      </c>
      <c r="H486" s="88"/>
      <c r="I486" s="84">
        <f t="shared" si="26"/>
        <v>172.8</v>
      </c>
    </row>
    <row r="487" ht="14.25" spans="1:9">
      <c r="A487" s="87"/>
      <c r="B487" s="101" t="s">
        <v>181</v>
      </c>
      <c r="C487" s="102"/>
      <c r="D487" s="103"/>
      <c r="E487" s="84" t="s">
        <v>13</v>
      </c>
      <c r="F487" s="84">
        <v>1.63</v>
      </c>
      <c r="G487" s="85">
        <v>1.08</v>
      </c>
      <c r="H487" s="88"/>
      <c r="I487" s="84">
        <f t="shared" si="26"/>
        <v>172.8</v>
      </c>
    </row>
    <row r="488" ht="14.25" spans="1:9">
      <c r="A488" s="87"/>
      <c r="B488" s="101" t="s">
        <v>96</v>
      </c>
      <c r="C488" s="102"/>
      <c r="D488" s="103"/>
      <c r="E488" s="84" t="s">
        <v>13</v>
      </c>
      <c r="F488" s="84">
        <v>1.6</v>
      </c>
      <c r="G488" s="85">
        <v>1.18</v>
      </c>
      <c r="H488" s="88"/>
      <c r="I488" s="84">
        <f t="shared" si="26"/>
        <v>188.8</v>
      </c>
    </row>
    <row r="489" ht="14.25" spans="1:9">
      <c r="A489" s="87"/>
      <c r="B489" s="101" t="s">
        <v>124</v>
      </c>
      <c r="C489" s="102"/>
      <c r="D489" s="103"/>
      <c r="E489" s="84" t="s">
        <v>13</v>
      </c>
      <c r="F489" s="84">
        <v>1.63</v>
      </c>
      <c r="G489" s="85">
        <v>1.18</v>
      </c>
      <c r="H489" s="88"/>
      <c r="I489" s="84">
        <f t="shared" si="26"/>
        <v>188.8</v>
      </c>
    </row>
    <row r="490" ht="14.25" spans="1:9">
      <c r="A490" s="87"/>
      <c r="B490" s="101" t="s">
        <v>100</v>
      </c>
      <c r="C490" s="102"/>
      <c r="D490" s="103"/>
      <c r="E490" s="84" t="s">
        <v>13</v>
      </c>
      <c r="F490" s="84">
        <v>1.65</v>
      </c>
      <c r="G490" s="85">
        <v>1.18</v>
      </c>
      <c r="H490" s="88"/>
      <c r="I490" s="84">
        <f t="shared" si="26"/>
        <v>188.8</v>
      </c>
    </row>
    <row r="491" ht="14.25" spans="1:9">
      <c r="A491" s="87"/>
      <c r="B491" s="101" t="s">
        <v>101</v>
      </c>
      <c r="C491" s="102"/>
      <c r="D491" s="103"/>
      <c r="E491" s="84" t="s">
        <v>13</v>
      </c>
      <c r="F491" s="84">
        <v>1.8</v>
      </c>
      <c r="G491" s="85">
        <v>1.8</v>
      </c>
      <c r="H491" s="88"/>
      <c r="I491" s="84">
        <f t="shared" si="26"/>
        <v>288</v>
      </c>
    </row>
    <row r="492" ht="14.25" spans="1:9">
      <c r="A492" s="87"/>
      <c r="B492" s="104" t="s">
        <v>174</v>
      </c>
      <c r="C492" s="105"/>
      <c r="D492" s="106"/>
      <c r="E492" s="84" t="s">
        <v>13</v>
      </c>
      <c r="F492" s="84">
        <v>1.83</v>
      </c>
      <c r="G492" s="85">
        <v>1.8</v>
      </c>
      <c r="H492" s="88"/>
      <c r="I492" s="84">
        <f t="shared" si="26"/>
        <v>288</v>
      </c>
    </row>
    <row r="493" ht="14.25" spans="1:9">
      <c r="A493" s="87"/>
      <c r="B493" s="101" t="s">
        <v>175</v>
      </c>
      <c r="C493" s="102"/>
      <c r="D493" s="103"/>
      <c r="E493" s="84" t="s">
        <v>13</v>
      </c>
      <c r="F493" s="84">
        <v>1.55</v>
      </c>
      <c r="G493" s="85">
        <v>0.15</v>
      </c>
      <c r="H493" s="88"/>
      <c r="I493" s="84">
        <f t="shared" si="26"/>
        <v>24</v>
      </c>
    </row>
    <row r="494" ht="14.25" spans="1:9">
      <c r="A494" s="87"/>
      <c r="B494" s="101" t="s">
        <v>174</v>
      </c>
      <c r="C494" s="102"/>
      <c r="D494" s="103"/>
      <c r="E494" s="84" t="s">
        <v>13</v>
      </c>
      <c r="F494" s="84">
        <v>1.58</v>
      </c>
      <c r="G494" s="85">
        <v>0.15</v>
      </c>
      <c r="H494" s="88"/>
      <c r="I494" s="84">
        <f t="shared" si="26"/>
        <v>24</v>
      </c>
    </row>
    <row r="495" ht="14.25" spans="1:9">
      <c r="A495" s="87"/>
      <c r="B495" s="101" t="s">
        <v>103</v>
      </c>
      <c r="C495" s="102"/>
      <c r="D495" s="103"/>
      <c r="E495" s="84" t="s">
        <v>13</v>
      </c>
      <c r="F495" s="84">
        <v>1.15</v>
      </c>
      <c r="G495" s="85">
        <v>1.9</v>
      </c>
      <c r="H495" s="88"/>
      <c r="I495" s="84">
        <f t="shared" si="26"/>
        <v>304</v>
      </c>
    </row>
    <row r="496" ht="14.25" spans="1:9">
      <c r="A496" s="87"/>
      <c r="B496" s="101" t="s">
        <v>104</v>
      </c>
      <c r="C496" s="102"/>
      <c r="D496" s="103"/>
      <c r="E496" s="84" t="s">
        <v>13</v>
      </c>
      <c r="F496" s="84">
        <v>1.7</v>
      </c>
      <c r="G496" s="85">
        <v>0.52</v>
      </c>
      <c r="H496" s="88"/>
      <c r="I496" s="84">
        <f t="shared" si="26"/>
        <v>83.2</v>
      </c>
    </row>
    <row r="497" ht="14.25" spans="1:9">
      <c r="A497" s="87"/>
      <c r="B497" s="101" t="s">
        <v>176</v>
      </c>
      <c r="C497" s="102"/>
      <c r="D497" s="103"/>
      <c r="E497" s="84" t="s">
        <v>13</v>
      </c>
      <c r="F497" s="84">
        <v>1.7</v>
      </c>
      <c r="G497" s="85">
        <v>0.7</v>
      </c>
      <c r="H497" s="88"/>
      <c r="I497" s="84">
        <f t="shared" si="26"/>
        <v>112</v>
      </c>
    </row>
    <row r="498" ht="14.25" spans="1:9">
      <c r="A498" s="87"/>
      <c r="B498" s="101" t="s">
        <v>183</v>
      </c>
      <c r="C498" s="102"/>
      <c r="D498" s="103"/>
      <c r="E498" s="84" t="s">
        <v>13</v>
      </c>
      <c r="F498" s="84">
        <v>1.5</v>
      </c>
      <c r="G498" s="85">
        <v>0.3</v>
      </c>
      <c r="H498" s="88"/>
      <c r="I498" s="84">
        <f t="shared" si="26"/>
        <v>48</v>
      </c>
    </row>
    <row r="499" ht="14.25" spans="1:9">
      <c r="A499" s="87"/>
      <c r="B499" s="101" t="s">
        <v>184</v>
      </c>
      <c r="C499" s="102"/>
      <c r="D499" s="103"/>
      <c r="E499" s="84" t="s">
        <v>13</v>
      </c>
      <c r="F499" s="84" t="s">
        <v>54</v>
      </c>
      <c r="G499" s="85">
        <v>7.3</v>
      </c>
      <c r="H499" s="88"/>
      <c r="I499" s="84">
        <f t="shared" si="26"/>
        <v>1168</v>
      </c>
    </row>
    <row r="500" ht="14.25" spans="1:9">
      <c r="A500" s="87"/>
      <c r="B500" s="104" t="s">
        <v>179</v>
      </c>
      <c r="C500" s="105"/>
      <c r="D500" s="106"/>
      <c r="E500" s="84" t="s">
        <v>13</v>
      </c>
      <c r="F500" s="84" t="s">
        <v>54</v>
      </c>
      <c r="G500" s="85">
        <v>0.35</v>
      </c>
      <c r="H500" s="88"/>
      <c r="I500" s="84">
        <f t="shared" si="26"/>
        <v>56</v>
      </c>
    </row>
    <row r="501" ht="14.25" spans="1:9">
      <c r="A501" s="87"/>
      <c r="B501" s="101" t="s">
        <v>108</v>
      </c>
      <c r="C501" s="102"/>
      <c r="D501" s="102"/>
      <c r="E501" s="84" t="s">
        <v>13</v>
      </c>
      <c r="F501" s="84" t="s">
        <v>109</v>
      </c>
      <c r="G501" s="85">
        <v>31</v>
      </c>
      <c r="H501" s="88"/>
      <c r="I501" s="84">
        <f t="shared" si="26"/>
        <v>4960</v>
      </c>
    </row>
    <row r="502" ht="14.25" spans="1:9">
      <c r="A502" s="87"/>
      <c r="B502" s="101" t="s">
        <v>110</v>
      </c>
      <c r="C502" s="102"/>
      <c r="D502" s="102"/>
      <c r="E502" s="84" t="s">
        <v>60</v>
      </c>
      <c r="F502" s="84" t="s">
        <v>54</v>
      </c>
      <c r="G502" s="85">
        <v>2</v>
      </c>
      <c r="H502" s="88"/>
      <c r="I502" s="84">
        <f t="shared" si="26"/>
        <v>320</v>
      </c>
    </row>
    <row r="503" ht="14.25" spans="1:9">
      <c r="A503" s="87"/>
      <c r="B503" s="101" t="s">
        <v>111</v>
      </c>
      <c r="C503" s="102"/>
      <c r="D503" s="102"/>
      <c r="E503" s="84" t="s">
        <v>53</v>
      </c>
      <c r="F503" s="84" t="s">
        <v>54</v>
      </c>
      <c r="G503" s="85">
        <v>1</v>
      </c>
      <c r="H503" s="88"/>
      <c r="I503" s="84">
        <f t="shared" si="26"/>
        <v>160</v>
      </c>
    </row>
    <row r="504" ht="14.25" spans="1:9">
      <c r="A504" s="87"/>
      <c r="B504" s="101" t="s">
        <v>112</v>
      </c>
      <c r="C504" s="102"/>
      <c r="D504" s="102"/>
      <c r="E504" s="84" t="s">
        <v>113</v>
      </c>
      <c r="F504" s="84" t="s">
        <v>54</v>
      </c>
      <c r="G504" s="85">
        <v>2</v>
      </c>
      <c r="H504" s="88"/>
      <c r="I504" s="84">
        <f t="shared" si="26"/>
        <v>320</v>
      </c>
    </row>
    <row r="505" ht="14.25" spans="1:9">
      <c r="A505" s="87"/>
      <c r="B505" s="101" t="s">
        <v>114</v>
      </c>
      <c r="C505" s="102"/>
      <c r="D505" s="102"/>
      <c r="E505" s="84" t="s">
        <v>13</v>
      </c>
      <c r="F505" s="84" t="s">
        <v>54</v>
      </c>
      <c r="G505" s="85">
        <v>1</v>
      </c>
      <c r="H505" s="88"/>
      <c r="I505" s="84">
        <f t="shared" si="26"/>
        <v>160</v>
      </c>
    </row>
    <row r="506" ht="14.25" spans="1:9">
      <c r="A506" s="87"/>
      <c r="B506" s="101" t="s">
        <v>115</v>
      </c>
      <c r="C506" s="102"/>
      <c r="D506" s="102"/>
      <c r="E506" s="84" t="s">
        <v>19</v>
      </c>
      <c r="F506" s="84" t="s">
        <v>54</v>
      </c>
      <c r="G506" s="85">
        <v>4</v>
      </c>
      <c r="H506" s="88"/>
      <c r="I506" s="84">
        <f t="shared" si="26"/>
        <v>640</v>
      </c>
    </row>
    <row r="507" ht="14.25" spans="1:9">
      <c r="A507" s="87"/>
      <c r="B507" s="101" t="s">
        <v>116</v>
      </c>
      <c r="C507" s="102"/>
      <c r="D507" s="102"/>
      <c r="E507" s="84" t="s">
        <v>13</v>
      </c>
      <c r="F507" s="84" t="s">
        <v>117</v>
      </c>
      <c r="G507" s="85">
        <v>7.5</v>
      </c>
      <c r="H507" s="88"/>
      <c r="I507" s="84">
        <f t="shared" si="26"/>
        <v>1200</v>
      </c>
    </row>
    <row r="508" ht="14.25" spans="1:9">
      <c r="A508" s="87"/>
      <c r="B508" s="101" t="s">
        <v>118</v>
      </c>
      <c r="C508" s="102"/>
      <c r="D508" s="102"/>
      <c r="E508" s="84" t="s">
        <v>13</v>
      </c>
      <c r="F508" s="84" t="s">
        <v>119</v>
      </c>
      <c r="G508" s="85">
        <v>1</v>
      </c>
      <c r="H508" s="88"/>
      <c r="I508" s="84">
        <f t="shared" si="26"/>
        <v>160</v>
      </c>
    </row>
    <row r="509" ht="14.25" spans="1:9">
      <c r="A509" s="87"/>
      <c r="B509" s="110" t="s">
        <v>48</v>
      </c>
      <c r="C509" s="111"/>
      <c r="D509" s="111"/>
      <c r="E509" s="84" t="s">
        <v>49</v>
      </c>
      <c r="F509" s="84" t="s">
        <v>69</v>
      </c>
      <c r="G509" s="85">
        <v>2</v>
      </c>
      <c r="H509" s="88"/>
      <c r="I509" s="84">
        <f t="shared" si="26"/>
        <v>320</v>
      </c>
    </row>
    <row r="510" ht="14.25" spans="1:9">
      <c r="A510" s="92"/>
      <c r="B510" s="104" t="s">
        <v>32</v>
      </c>
      <c r="C510" s="105"/>
      <c r="D510" s="106"/>
      <c r="E510" s="84"/>
      <c r="F510" s="84"/>
      <c r="G510" s="85"/>
      <c r="H510" s="93"/>
      <c r="I510" s="84"/>
    </row>
    <row r="511" ht="14.25" spans="1:9">
      <c r="A511" s="83" t="s">
        <v>185</v>
      </c>
      <c r="B511" s="101" t="s">
        <v>96</v>
      </c>
      <c r="C511" s="102"/>
      <c r="D511" s="103"/>
      <c r="E511" s="84" t="s">
        <v>13</v>
      </c>
      <c r="F511" s="84">
        <v>1.6</v>
      </c>
      <c r="G511" s="85">
        <v>1.55</v>
      </c>
      <c r="H511" s="86">
        <v>50</v>
      </c>
      <c r="I511" s="84">
        <f>G511*$H$511</f>
        <v>77.5</v>
      </c>
    </row>
    <row r="512" ht="14.25" spans="1:9">
      <c r="A512" s="87"/>
      <c r="B512" s="101" t="s">
        <v>97</v>
      </c>
      <c r="C512" s="102"/>
      <c r="D512" s="103"/>
      <c r="E512" s="84" t="s">
        <v>13</v>
      </c>
      <c r="F512" s="84">
        <v>1.63</v>
      </c>
      <c r="G512" s="85">
        <v>1.55</v>
      </c>
      <c r="H512" s="88"/>
      <c r="I512" s="84">
        <f t="shared" ref="I512:I539" si="27">G512*$H$511</f>
        <v>77.5</v>
      </c>
    </row>
    <row r="513" ht="14.25" spans="1:9">
      <c r="A513" s="87"/>
      <c r="B513" s="112" t="s">
        <v>96</v>
      </c>
      <c r="C513" s="113"/>
      <c r="D513" s="114"/>
      <c r="E513" s="115" t="s">
        <v>13</v>
      </c>
      <c r="F513" s="115">
        <v>1.6</v>
      </c>
      <c r="G513" s="116">
        <v>0.28</v>
      </c>
      <c r="H513" s="88"/>
      <c r="I513" s="84">
        <f t="shared" si="27"/>
        <v>14</v>
      </c>
    </row>
    <row r="514" ht="14.25" spans="1:9">
      <c r="A514" s="87"/>
      <c r="B514" s="112" t="s">
        <v>97</v>
      </c>
      <c r="C514" s="113"/>
      <c r="D514" s="114"/>
      <c r="E514" s="115" t="s">
        <v>13</v>
      </c>
      <c r="F514" s="115">
        <v>1.63</v>
      </c>
      <c r="G514" s="116">
        <v>0.28</v>
      </c>
      <c r="H514" s="88"/>
      <c r="I514" s="84">
        <f t="shared" si="27"/>
        <v>14</v>
      </c>
    </row>
    <row r="515" ht="14.25" spans="1:9">
      <c r="A515" s="87"/>
      <c r="B515" s="112" t="s">
        <v>98</v>
      </c>
      <c r="C515" s="113"/>
      <c r="D515" s="114"/>
      <c r="E515" s="115" t="s">
        <v>13</v>
      </c>
      <c r="F515" s="115">
        <v>1.65</v>
      </c>
      <c r="G515" s="116">
        <v>0.28</v>
      </c>
      <c r="H515" s="88"/>
      <c r="I515" s="84">
        <f t="shared" si="27"/>
        <v>14</v>
      </c>
    </row>
    <row r="516" ht="14.25" spans="1:9">
      <c r="A516" s="87"/>
      <c r="B516" s="101" t="s">
        <v>186</v>
      </c>
      <c r="C516" s="102"/>
      <c r="D516" s="103"/>
      <c r="E516" s="84" t="s">
        <v>13</v>
      </c>
      <c r="F516" s="84">
        <v>1.6</v>
      </c>
      <c r="G516" s="85">
        <v>1.08</v>
      </c>
      <c r="H516" s="88"/>
      <c r="I516" s="84">
        <f t="shared" si="27"/>
        <v>54</v>
      </c>
    </row>
    <row r="517" ht="14.25" spans="1:9">
      <c r="A517" s="87"/>
      <c r="B517" s="101" t="s">
        <v>97</v>
      </c>
      <c r="C517" s="102"/>
      <c r="D517" s="103"/>
      <c r="E517" s="84" t="s">
        <v>13</v>
      </c>
      <c r="F517" s="84">
        <v>1.63</v>
      </c>
      <c r="G517" s="85">
        <v>1.08</v>
      </c>
      <c r="H517" s="88"/>
      <c r="I517" s="84">
        <f t="shared" si="27"/>
        <v>54</v>
      </c>
    </row>
    <row r="518" ht="14.25" spans="1:9">
      <c r="A518" s="87"/>
      <c r="B518" s="112" t="s">
        <v>96</v>
      </c>
      <c r="C518" s="113"/>
      <c r="D518" s="114"/>
      <c r="E518" s="115" t="s">
        <v>13</v>
      </c>
      <c r="F518" s="115">
        <v>1.6</v>
      </c>
      <c r="G518" s="116">
        <v>1.18</v>
      </c>
      <c r="H518" s="88"/>
      <c r="I518" s="84">
        <f t="shared" si="27"/>
        <v>59</v>
      </c>
    </row>
    <row r="519" ht="14.25" spans="1:9">
      <c r="A519" s="87"/>
      <c r="B519" s="112" t="s">
        <v>124</v>
      </c>
      <c r="C519" s="113"/>
      <c r="D519" s="114"/>
      <c r="E519" s="115" t="s">
        <v>13</v>
      </c>
      <c r="F519" s="115">
        <v>1.63</v>
      </c>
      <c r="G519" s="116">
        <v>1.18</v>
      </c>
      <c r="H519" s="88"/>
      <c r="I519" s="84">
        <f t="shared" si="27"/>
        <v>59</v>
      </c>
    </row>
    <row r="520" ht="14.25" spans="1:9">
      <c r="A520" s="87"/>
      <c r="B520" s="112" t="s">
        <v>100</v>
      </c>
      <c r="C520" s="113"/>
      <c r="D520" s="114"/>
      <c r="E520" s="115" t="s">
        <v>13</v>
      </c>
      <c r="F520" s="115">
        <v>1.65</v>
      </c>
      <c r="G520" s="116">
        <v>1.18</v>
      </c>
      <c r="H520" s="88"/>
      <c r="I520" s="84">
        <f t="shared" si="27"/>
        <v>59</v>
      </c>
    </row>
    <row r="521" ht="14.25" spans="1:9">
      <c r="A521" s="87"/>
      <c r="B521" s="101" t="s">
        <v>101</v>
      </c>
      <c r="C521" s="102"/>
      <c r="D521" s="103"/>
      <c r="E521" s="84" t="s">
        <v>13</v>
      </c>
      <c r="F521" s="84">
        <v>1.8</v>
      </c>
      <c r="G521" s="85">
        <v>1.8</v>
      </c>
      <c r="H521" s="88"/>
      <c r="I521" s="84">
        <f t="shared" si="27"/>
        <v>90</v>
      </c>
    </row>
    <row r="522" ht="14.25" spans="1:9">
      <c r="A522" s="87"/>
      <c r="B522" s="104" t="s">
        <v>174</v>
      </c>
      <c r="C522" s="105"/>
      <c r="D522" s="106"/>
      <c r="E522" s="84" t="s">
        <v>13</v>
      </c>
      <c r="F522" s="84">
        <v>1.83</v>
      </c>
      <c r="G522" s="85">
        <v>1.8</v>
      </c>
      <c r="H522" s="88"/>
      <c r="I522" s="84">
        <f t="shared" si="27"/>
        <v>90</v>
      </c>
    </row>
    <row r="523" ht="14.25" spans="1:9">
      <c r="A523" s="87"/>
      <c r="B523" s="112" t="s">
        <v>175</v>
      </c>
      <c r="C523" s="113"/>
      <c r="D523" s="114"/>
      <c r="E523" s="115" t="s">
        <v>13</v>
      </c>
      <c r="F523" s="115">
        <v>1.55</v>
      </c>
      <c r="G523" s="116">
        <v>0.15</v>
      </c>
      <c r="H523" s="88"/>
      <c r="I523" s="84">
        <f t="shared" si="27"/>
        <v>7.5</v>
      </c>
    </row>
    <row r="524" ht="14.25" spans="1:9">
      <c r="A524" s="87"/>
      <c r="B524" s="112" t="s">
        <v>174</v>
      </c>
      <c r="C524" s="113"/>
      <c r="D524" s="114"/>
      <c r="E524" s="115" t="s">
        <v>13</v>
      </c>
      <c r="F524" s="115">
        <v>1.58</v>
      </c>
      <c r="G524" s="116">
        <v>0.15</v>
      </c>
      <c r="H524" s="88"/>
      <c r="I524" s="84">
        <f t="shared" si="27"/>
        <v>7.5</v>
      </c>
    </row>
    <row r="525" ht="14.25" spans="1:9">
      <c r="A525" s="87"/>
      <c r="B525" s="101" t="s">
        <v>103</v>
      </c>
      <c r="C525" s="102"/>
      <c r="D525" s="103"/>
      <c r="E525" s="84" t="s">
        <v>13</v>
      </c>
      <c r="F525" s="84">
        <v>1.15</v>
      </c>
      <c r="G525" s="85">
        <v>1.9</v>
      </c>
      <c r="H525" s="88"/>
      <c r="I525" s="84">
        <f t="shared" si="27"/>
        <v>95</v>
      </c>
    </row>
    <row r="526" ht="14.25" spans="1:9">
      <c r="A526" s="87"/>
      <c r="B526" s="112" t="s">
        <v>104</v>
      </c>
      <c r="C526" s="113"/>
      <c r="D526" s="114"/>
      <c r="E526" s="115" t="s">
        <v>13</v>
      </c>
      <c r="F526" s="115">
        <v>1.7</v>
      </c>
      <c r="G526" s="116">
        <v>0.52</v>
      </c>
      <c r="H526" s="88"/>
      <c r="I526" s="84">
        <f t="shared" si="27"/>
        <v>26</v>
      </c>
    </row>
    <row r="527" ht="14.25" spans="1:9">
      <c r="A527" s="87"/>
      <c r="B527" s="101" t="s">
        <v>176</v>
      </c>
      <c r="C527" s="102"/>
      <c r="D527" s="103"/>
      <c r="E527" s="84" t="s">
        <v>13</v>
      </c>
      <c r="F527" s="84">
        <v>1.7</v>
      </c>
      <c r="G527" s="85">
        <v>0.7</v>
      </c>
      <c r="H527" s="88"/>
      <c r="I527" s="84">
        <f t="shared" si="27"/>
        <v>35</v>
      </c>
    </row>
    <row r="528" ht="14.25" spans="1:9">
      <c r="A528" s="87"/>
      <c r="B528" s="101" t="s">
        <v>177</v>
      </c>
      <c r="C528" s="102"/>
      <c r="D528" s="103"/>
      <c r="E528" s="84" t="s">
        <v>13</v>
      </c>
      <c r="F528" s="84">
        <v>1.5</v>
      </c>
      <c r="G528" s="85">
        <v>0.3</v>
      </c>
      <c r="H528" s="88"/>
      <c r="I528" s="84">
        <f t="shared" si="27"/>
        <v>15</v>
      </c>
    </row>
    <row r="529" ht="14.25" spans="1:9">
      <c r="A529" s="87"/>
      <c r="B529" s="101" t="s">
        <v>187</v>
      </c>
      <c r="C529" s="102"/>
      <c r="D529" s="103"/>
      <c r="E529" s="84" t="s">
        <v>13</v>
      </c>
      <c r="F529" s="84" t="s">
        <v>54</v>
      </c>
      <c r="G529" s="85">
        <v>7.3</v>
      </c>
      <c r="H529" s="88"/>
      <c r="I529" s="84">
        <f t="shared" si="27"/>
        <v>365</v>
      </c>
    </row>
    <row r="530" ht="14.25" spans="1:9">
      <c r="A530" s="87"/>
      <c r="B530" s="104" t="s">
        <v>179</v>
      </c>
      <c r="C530" s="105"/>
      <c r="D530" s="106"/>
      <c r="E530" s="84" t="s">
        <v>13</v>
      </c>
      <c r="F530" s="84" t="s">
        <v>54</v>
      </c>
      <c r="G530" s="85">
        <v>0.35</v>
      </c>
      <c r="H530" s="88"/>
      <c r="I530" s="84">
        <f t="shared" si="27"/>
        <v>17.5</v>
      </c>
    </row>
    <row r="531" ht="14.25" spans="1:9">
      <c r="A531" s="87"/>
      <c r="B531" s="101" t="s">
        <v>108</v>
      </c>
      <c r="C531" s="102"/>
      <c r="D531" s="102"/>
      <c r="E531" s="84" t="s">
        <v>13</v>
      </c>
      <c r="F531" s="84" t="s">
        <v>109</v>
      </c>
      <c r="G531" s="85">
        <v>31</v>
      </c>
      <c r="H531" s="88"/>
      <c r="I531" s="84">
        <f t="shared" si="27"/>
        <v>1550</v>
      </c>
    </row>
    <row r="532" ht="14.25" spans="1:9">
      <c r="A532" s="87"/>
      <c r="B532" s="101" t="s">
        <v>110</v>
      </c>
      <c r="C532" s="102"/>
      <c r="D532" s="102"/>
      <c r="E532" s="84" t="s">
        <v>60</v>
      </c>
      <c r="F532" s="84" t="s">
        <v>54</v>
      </c>
      <c r="G532" s="85">
        <v>2</v>
      </c>
      <c r="H532" s="88"/>
      <c r="I532" s="84">
        <f t="shared" si="27"/>
        <v>100</v>
      </c>
    </row>
    <row r="533" ht="14.25" spans="1:9">
      <c r="A533" s="87"/>
      <c r="B533" s="101" t="s">
        <v>111</v>
      </c>
      <c r="C533" s="102"/>
      <c r="D533" s="102"/>
      <c r="E533" s="84" t="s">
        <v>53</v>
      </c>
      <c r="F533" s="84" t="s">
        <v>54</v>
      </c>
      <c r="G533" s="85">
        <v>1</v>
      </c>
      <c r="H533" s="88"/>
      <c r="I533" s="84">
        <f t="shared" si="27"/>
        <v>50</v>
      </c>
    </row>
    <row r="534" ht="14.25" spans="1:9">
      <c r="A534" s="87"/>
      <c r="B534" s="101" t="s">
        <v>112</v>
      </c>
      <c r="C534" s="102"/>
      <c r="D534" s="102"/>
      <c r="E534" s="84" t="s">
        <v>113</v>
      </c>
      <c r="F534" s="84" t="s">
        <v>54</v>
      </c>
      <c r="G534" s="85">
        <v>2</v>
      </c>
      <c r="H534" s="88"/>
      <c r="I534" s="84">
        <f t="shared" si="27"/>
        <v>100</v>
      </c>
    </row>
    <row r="535" ht="14.25" spans="1:9">
      <c r="A535" s="87"/>
      <c r="B535" s="101" t="s">
        <v>114</v>
      </c>
      <c r="C535" s="102"/>
      <c r="D535" s="102"/>
      <c r="E535" s="84" t="s">
        <v>13</v>
      </c>
      <c r="F535" s="84" t="s">
        <v>54</v>
      </c>
      <c r="G535" s="85">
        <v>1</v>
      </c>
      <c r="H535" s="88"/>
      <c r="I535" s="84">
        <f t="shared" si="27"/>
        <v>50</v>
      </c>
    </row>
    <row r="536" ht="14.25" spans="1:9">
      <c r="A536" s="87"/>
      <c r="B536" s="101" t="s">
        <v>115</v>
      </c>
      <c r="C536" s="102"/>
      <c r="D536" s="102"/>
      <c r="E536" s="84" t="s">
        <v>19</v>
      </c>
      <c r="F536" s="84" t="s">
        <v>54</v>
      </c>
      <c r="G536" s="85">
        <v>4</v>
      </c>
      <c r="H536" s="88"/>
      <c r="I536" s="84">
        <f t="shared" si="27"/>
        <v>200</v>
      </c>
    </row>
    <row r="537" ht="14.25" spans="1:9">
      <c r="A537" s="87"/>
      <c r="B537" s="101" t="s">
        <v>116</v>
      </c>
      <c r="C537" s="102"/>
      <c r="D537" s="102"/>
      <c r="E537" s="84" t="s">
        <v>13</v>
      </c>
      <c r="F537" s="84" t="s">
        <v>117</v>
      </c>
      <c r="G537" s="85">
        <v>7.5</v>
      </c>
      <c r="H537" s="88"/>
      <c r="I537" s="84">
        <f t="shared" si="27"/>
        <v>375</v>
      </c>
    </row>
    <row r="538" ht="14.25" spans="1:9">
      <c r="A538" s="87"/>
      <c r="B538" s="101" t="s">
        <v>118</v>
      </c>
      <c r="C538" s="102"/>
      <c r="D538" s="102"/>
      <c r="E538" s="84" t="s">
        <v>13</v>
      </c>
      <c r="F538" s="84" t="s">
        <v>119</v>
      </c>
      <c r="G538" s="85">
        <v>1</v>
      </c>
      <c r="H538" s="88"/>
      <c r="I538" s="84">
        <f t="shared" si="27"/>
        <v>50</v>
      </c>
    </row>
    <row r="539" ht="14.25" spans="1:9">
      <c r="A539" s="87"/>
      <c r="B539" s="110" t="s">
        <v>48</v>
      </c>
      <c r="C539" s="111"/>
      <c r="D539" s="111"/>
      <c r="E539" s="84" t="s">
        <v>49</v>
      </c>
      <c r="F539" s="84"/>
      <c r="G539" s="85">
        <v>2</v>
      </c>
      <c r="H539" s="88"/>
      <c r="I539" s="84">
        <f t="shared" si="27"/>
        <v>100</v>
      </c>
    </row>
    <row r="540" ht="14.25" spans="1:9">
      <c r="A540" s="92"/>
      <c r="B540" s="104" t="s">
        <v>32</v>
      </c>
      <c r="C540" s="105"/>
      <c r="D540" s="106"/>
      <c r="E540" s="84"/>
      <c r="F540" s="84"/>
      <c r="G540" s="85"/>
      <c r="H540" s="93"/>
      <c r="I540" s="84"/>
    </row>
    <row r="541" ht="14.25" spans="1:9">
      <c r="A541" s="83" t="s">
        <v>188</v>
      </c>
      <c r="B541" s="101" t="s">
        <v>96</v>
      </c>
      <c r="C541" s="102"/>
      <c r="D541" s="103"/>
      <c r="E541" s="84" t="s">
        <v>13</v>
      </c>
      <c r="F541" s="84">
        <v>1.6</v>
      </c>
      <c r="G541" s="85">
        <v>2.5</v>
      </c>
      <c r="H541" s="86">
        <v>170</v>
      </c>
      <c r="I541" s="84">
        <f>G541*$H$541</f>
        <v>425</v>
      </c>
    </row>
    <row r="542" ht="14.25" spans="1:9">
      <c r="A542" s="87"/>
      <c r="B542" s="101" t="s">
        <v>97</v>
      </c>
      <c r="C542" s="102"/>
      <c r="D542" s="103"/>
      <c r="E542" s="84" t="s">
        <v>13</v>
      </c>
      <c r="F542" s="84">
        <v>1.63</v>
      </c>
      <c r="G542" s="85">
        <v>2.5</v>
      </c>
      <c r="H542" s="88"/>
      <c r="I542" s="84">
        <f t="shared" ref="I542:I567" si="28">G542*$H$541</f>
        <v>425</v>
      </c>
    </row>
    <row r="543" ht="14.25" spans="1:9">
      <c r="A543" s="87"/>
      <c r="B543" s="101" t="s">
        <v>96</v>
      </c>
      <c r="C543" s="102"/>
      <c r="D543" s="103"/>
      <c r="E543" s="84" t="s">
        <v>13</v>
      </c>
      <c r="F543" s="84">
        <v>1.6</v>
      </c>
      <c r="G543" s="85">
        <v>0.26</v>
      </c>
      <c r="H543" s="88"/>
      <c r="I543" s="84">
        <f t="shared" si="28"/>
        <v>44.2</v>
      </c>
    </row>
    <row r="544" ht="14.25" spans="1:9">
      <c r="A544" s="87"/>
      <c r="B544" s="101" t="s">
        <v>97</v>
      </c>
      <c r="C544" s="102"/>
      <c r="D544" s="103"/>
      <c r="E544" s="84" t="s">
        <v>13</v>
      </c>
      <c r="F544" s="84">
        <v>1.63</v>
      </c>
      <c r="G544" s="85">
        <v>0.26</v>
      </c>
      <c r="H544" s="88"/>
      <c r="I544" s="84">
        <f t="shared" si="28"/>
        <v>44.2</v>
      </c>
    </row>
    <row r="545" ht="14.25" spans="1:9">
      <c r="A545" s="87"/>
      <c r="B545" s="101" t="s">
        <v>98</v>
      </c>
      <c r="C545" s="102"/>
      <c r="D545" s="103"/>
      <c r="E545" s="84" t="s">
        <v>13</v>
      </c>
      <c r="F545" s="84">
        <v>1.65</v>
      </c>
      <c r="G545" s="85">
        <v>0.26</v>
      </c>
      <c r="H545" s="88"/>
      <c r="I545" s="84">
        <f t="shared" si="28"/>
        <v>44.2</v>
      </c>
    </row>
    <row r="546" ht="14.25" spans="1:9">
      <c r="A546" s="87"/>
      <c r="B546" s="101" t="s">
        <v>96</v>
      </c>
      <c r="C546" s="102"/>
      <c r="D546" s="103"/>
      <c r="E546" s="84" t="s">
        <v>13</v>
      </c>
      <c r="F546" s="84">
        <v>1.6</v>
      </c>
      <c r="G546" s="85">
        <v>1.18</v>
      </c>
      <c r="H546" s="88"/>
      <c r="I546" s="84">
        <f t="shared" si="28"/>
        <v>200.6</v>
      </c>
    </row>
    <row r="547" ht="14.25" spans="1:9">
      <c r="A547" s="87"/>
      <c r="B547" s="101" t="s">
        <v>124</v>
      </c>
      <c r="C547" s="102"/>
      <c r="D547" s="103"/>
      <c r="E547" s="84" t="s">
        <v>13</v>
      </c>
      <c r="F547" s="84">
        <v>1.63</v>
      </c>
      <c r="G547" s="85">
        <v>1.18</v>
      </c>
      <c r="H547" s="88"/>
      <c r="I547" s="84">
        <f t="shared" si="28"/>
        <v>200.6</v>
      </c>
    </row>
    <row r="548" ht="14.25" spans="1:9">
      <c r="A548" s="87"/>
      <c r="B548" s="101" t="s">
        <v>100</v>
      </c>
      <c r="C548" s="102"/>
      <c r="D548" s="103"/>
      <c r="E548" s="84" t="s">
        <v>13</v>
      </c>
      <c r="F548" s="84">
        <v>1.65</v>
      </c>
      <c r="G548" s="85">
        <v>1.18</v>
      </c>
      <c r="H548" s="88"/>
      <c r="I548" s="84">
        <f t="shared" si="28"/>
        <v>200.6</v>
      </c>
    </row>
    <row r="549" ht="14.25" spans="1:9">
      <c r="A549" s="87"/>
      <c r="B549" s="101" t="s">
        <v>189</v>
      </c>
      <c r="C549" s="102"/>
      <c r="D549" s="103"/>
      <c r="E549" s="84" t="s">
        <v>13</v>
      </c>
      <c r="F549" s="84">
        <v>1.8</v>
      </c>
      <c r="G549" s="85">
        <v>1.8</v>
      </c>
      <c r="H549" s="88"/>
      <c r="I549" s="84">
        <f t="shared" si="28"/>
        <v>306</v>
      </c>
    </row>
    <row r="550" ht="14.25" spans="1:9">
      <c r="A550" s="87"/>
      <c r="B550" s="104" t="s">
        <v>129</v>
      </c>
      <c r="C550" s="105"/>
      <c r="D550" s="106"/>
      <c r="E550" s="84" t="s">
        <v>13</v>
      </c>
      <c r="F550" s="84">
        <v>1.83</v>
      </c>
      <c r="G550" s="85">
        <v>1.8</v>
      </c>
      <c r="H550" s="88"/>
      <c r="I550" s="84">
        <f t="shared" si="28"/>
        <v>306</v>
      </c>
    </row>
    <row r="551" ht="14.25" spans="1:9">
      <c r="A551" s="87"/>
      <c r="B551" s="101" t="s">
        <v>175</v>
      </c>
      <c r="C551" s="102"/>
      <c r="D551" s="103"/>
      <c r="E551" s="84" t="s">
        <v>13</v>
      </c>
      <c r="F551" s="84">
        <v>1.55</v>
      </c>
      <c r="G551" s="85">
        <v>0.15</v>
      </c>
      <c r="H551" s="88"/>
      <c r="I551" s="84">
        <f t="shared" si="28"/>
        <v>25.5</v>
      </c>
    </row>
    <row r="552" ht="14.25" spans="1:9">
      <c r="A552" s="87"/>
      <c r="B552" s="101" t="s">
        <v>129</v>
      </c>
      <c r="C552" s="102"/>
      <c r="D552" s="103"/>
      <c r="E552" s="84" t="s">
        <v>13</v>
      </c>
      <c r="F552" s="84">
        <v>1.58</v>
      </c>
      <c r="G552" s="85">
        <v>0.15</v>
      </c>
      <c r="H552" s="88"/>
      <c r="I552" s="84">
        <f t="shared" si="28"/>
        <v>25.5</v>
      </c>
    </row>
    <row r="553" ht="14.25" spans="1:9">
      <c r="A553" s="87"/>
      <c r="B553" s="101" t="s">
        <v>103</v>
      </c>
      <c r="C553" s="102"/>
      <c r="D553" s="103"/>
      <c r="E553" s="84" t="s">
        <v>13</v>
      </c>
      <c r="F553" s="84">
        <v>1.15</v>
      </c>
      <c r="G553" s="85">
        <v>1.9</v>
      </c>
      <c r="H553" s="88"/>
      <c r="I553" s="84">
        <f t="shared" si="28"/>
        <v>323</v>
      </c>
    </row>
    <row r="554" ht="14.25" spans="1:9">
      <c r="A554" s="87"/>
      <c r="B554" s="101" t="s">
        <v>104</v>
      </c>
      <c r="C554" s="102"/>
      <c r="D554" s="103"/>
      <c r="E554" s="84" t="s">
        <v>13</v>
      </c>
      <c r="F554" s="84">
        <v>1.7</v>
      </c>
      <c r="G554" s="85">
        <v>0.52</v>
      </c>
      <c r="H554" s="88"/>
      <c r="I554" s="84">
        <f t="shared" si="28"/>
        <v>88.4</v>
      </c>
    </row>
    <row r="555" ht="14.25" spans="1:9">
      <c r="A555" s="87"/>
      <c r="B555" s="101" t="s">
        <v>176</v>
      </c>
      <c r="C555" s="102"/>
      <c r="D555" s="103"/>
      <c r="E555" s="84" t="s">
        <v>13</v>
      </c>
      <c r="F555" s="84">
        <v>1.7</v>
      </c>
      <c r="G555" s="85">
        <v>0.75</v>
      </c>
      <c r="H555" s="88"/>
      <c r="I555" s="84">
        <f t="shared" si="28"/>
        <v>127.5</v>
      </c>
    </row>
    <row r="556" ht="14.25" spans="1:9">
      <c r="A556" s="87"/>
      <c r="B556" s="101" t="s">
        <v>177</v>
      </c>
      <c r="C556" s="102"/>
      <c r="D556" s="103"/>
      <c r="E556" s="84" t="s">
        <v>13</v>
      </c>
      <c r="F556" s="84">
        <v>1.5</v>
      </c>
      <c r="G556" s="85">
        <v>0.28</v>
      </c>
      <c r="H556" s="88"/>
      <c r="I556" s="84">
        <f t="shared" si="28"/>
        <v>47.6</v>
      </c>
    </row>
    <row r="557" ht="14.25" spans="1:9">
      <c r="A557" s="87"/>
      <c r="B557" s="101" t="s">
        <v>178</v>
      </c>
      <c r="C557" s="102"/>
      <c r="D557" s="103"/>
      <c r="E557" s="84" t="s">
        <v>13</v>
      </c>
      <c r="F557" s="84" t="s">
        <v>54</v>
      </c>
      <c r="G557" s="85">
        <v>7.6</v>
      </c>
      <c r="H557" s="88"/>
      <c r="I557" s="84">
        <f t="shared" si="28"/>
        <v>1292</v>
      </c>
    </row>
    <row r="558" ht="14.25" spans="1:9">
      <c r="A558" s="87"/>
      <c r="B558" s="104" t="s">
        <v>179</v>
      </c>
      <c r="C558" s="105"/>
      <c r="D558" s="106"/>
      <c r="E558" s="84" t="s">
        <v>13</v>
      </c>
      <c r="F558" s="84" t="s">
        <v>54</v>
      </c>
      <c r="G558" s="85">
        <v>0.35</v>
      </c>
      <c r="H558" s="88"/>
      <c r="I558" s="84">
        <f t="shared" si="28"/>
        <v>59.5</v>
      </c>
    </row>
    <row r="559" ht="14.25" spans="1:9">
      <c r="A559" s="87"/>
      <c r="B559" s="101" t="s">
        <v>108</v>
      </c>
      <c r="C559" s="102"/>
      <c r="D559" s="102"/>
      <c r="E559" s="84" t="s">
        <v>13</v>
      </c>
      <c r="F559" s="84" t="s">
        <v>109</v>
      </c>
      <c r="G559" s="85">
        <v>34</v>
      </c>
      <c r="H559" s="88"/>
      <c r="I559" s="84">
        <f t="shared" si="28"/>
        <v>5780</v>
      </c>
    </row>
    <row r="560" ht="14.25" spans="1:9">
      <c r="A560" s="87"/>
      <c r="B560" s="101" t="s">
        <v>190</v>
      </c>
      <c r="C560" s="102"/>
      <c r="D560" s="102"/>
      <c r="E560" s="84" t="s">
        <v>60</v>
      </c>
      <c r="F560" s="84" t="s">
        <v>54</v>
      </c>
      <c r="G560" s="85">
        <v>2</v>
      </c>
      <c r="H560" s="88"/>
      <c r="I560" s="84">
        <f t="shared" si="28"/>
        <v>340</v>
      </c>
    </row>
    <row r="561" ht="14.25" spans="1:9">
      <c r="A561" s="87"/>
      <c r="B561" s="101" t="s">
        <v>111</v>
      </c>
      <c r="C561" s="102"/>
      <c r="D561" s="102"/>
      <c r="E561" s="84" t="s">
        <v>53</v>
      </c>
      <c r="F561" s="84" t="s">
        <v>54</v>
      </c>
      <c r="G561" s="85">
        <v>1</v>
      </c>
      <c r="H561" s="88"/>
      <c r="I561" s="84">
        <f t="shared" si="28"/>
        <v>170</v>
      </c>
    </row>
    <row r="562" ht="14.25" spans="1:9">
      <c r="A562" s="87"/>
      <c r="B562" s="101" t="s">
        <v>112</v>
      </c>
      <c r="C562" s="102"/>
      <c r="D562" s="102"/>
      <c r="E562" s="84" t="s">
        <v>113</v>
      </c>
      <c r="F562" s="84" t="s">
        <v>54</v>
      </c>
      <c r="G562" s="85">
        <v>2</v>
      </c>
      <c r="H562" s="88"/>
      <c r="I562" s="84">
        <f t="shared" si="28"/>
        <v>340</v>
      </c>
    </row>
    <row r="563" ht="14.25" spans="1:9">
      <c r="A563" s="87"/>
      <c r="B563" s="101" t="s">
        <v>114</v>
      </c>
      <c r="C563" s="102"/>
      <c r="D563" s="102"/>
      <c r="E563" s="84" t="s">
        <v>13</v>
      </c>
      <c r="F563" s="84" t="s">
        <v>54</v>
      </c>
      <c r="G563" s="85">
        <v>1</v>
      </c>
      <c r="H563" s="88"/>
      <c r="I563" s="84">
        <f t="shared" si="28"/>
        <v>170</v>
      </c>
    </row>
    <row r="564" ht="14.25" spans="1:9">
      <c r="A564" s="87"/>
      <c r="B564" s="101" t="s">
        <v>115</v>
      </c>
      <c r="C564" s="102"/>
      <c r="D564" s="102"/>
      <c r="E564" s="84" t="s">
        <v>19</v>
      </c>
      <c r="F564" s="84" t="s">
        <v>54</v>
      </c>
      <c r="G564" s="85">
        <v>4</v>
      </c>
      <c r="H564" s="88"/>
      <c r="I564" s="84">
        <f t="shared" si="28"/>
        <v>680</v>
      </c>
    </row>
    <row r="565" ht="14.25" spans="1:9">
      <c r="A565" s="87"/>
      <c r="B565" s="101" t="s">
        <v>116</v>
      </c>
      <c r="C565" s="102"/>
      <c r="D565" s="102"/>
      <c r="E565" s="84" t="s">
        <v>13</v>
      </c>
      <c r="F565" s="84" t="s">
        <v>117</v>
      </c>
      <c r="G565" s="85">
        <v>7.5</v>
      </c>
      <c r="H565" s="88"/>
      <c r="I565" s="84">
        <f t="shared" si="28"/>
        <v>1275</v>
      </c>
    </row>
    <row r="566" ht="14.25" spans="1:9">
      <c r="A566" s="87"/>
      <c r="B566" s="101" t="s">
        <v>118</v>
      </c>
      <c r="C566" s="102"/>
      <c r="D566" s="102"/>
      <c r="E566" s="84" t="s">
        <v>13</v>
      </c>
      <c r="F566" s="84" t="s">
        <v>119</v>
      </c>
      <c r="G566" s="85">
        <v>1</v>
      </c>
      <c r="H566" s="88"/>
      <c r="I566" s="84">
        <f t="shared" si="28"/>
        <v>170</v>
      </c>
    </row>
    <row r="567" ht="30" customHeight="1" spans="1:9">
      <c r="A567" s="87"/>
      <c r="B567" s="110" t="s">
        <v>48</v>
      </c>
      <c r="C567" s="111"/>
      <c r="D567" s="111"/>
      <c r="E567" s="84" t="s">
        <v>49</v>
      </c>
      <c r="F567" s="84" t="s">
        <v>69</v>
      </c>
      <c r="G567" s="85">
        <v>2</v>
      </c>
      <c r="H567" s="88"/>
      <c r="I567" s="84">
        <f t="shared" si="28"/>
        <v>340</v>
      </c>
    </row>
    <row r="568" ht="14.25" spans="1:9">
      <c r="A568" s="92"/>
      <c r="B568" s="104" t="s">
        <v>32</v>
      </c>
      <c r="C568" s="105"/>
      <c r="D568" s="106"/>
      <c r="E568" s="84"/>
      <c r="F568" s="84"/>
      <c r="G568" s="85"/>
      <c r="H568" s="93"/>
      <c r="I568" s="84"/>
    </row>
    <row r="569" ht="14.25" spans="1:9">
      <c r="A569" s="83" t="s">
        <v>191</v>
      </c>
      <c r="B569" s="101" t="s">
        <v>96</v>
      </c>
      <c r="C569" s="102"/>
      <c r="D569" s="103"/>
      <c r="E569" s="84" t="s">
        <v>13</v>
      </c>
      <c r="F569" s="84">
        <v>1.6</v>
      </c>
      <c r="G569" s="85">
        <v>2.85</v>
      </c>
      <c r="H569" s="86">
        <v>180</v>
      </c>
      <c r="I569" s="84">
        <f>G569*$H$569</f>
        <v>513</v>
      </c>
    </row>
    <row r="570" ht="14.25" spans="1:9">
      <c r="A570" s="87"/>
      <c r="B570" s="101" t="s">
        <v>97</v>
      </c>
      <c r="C570" s="102"/>
      <c r="D570" s="103"/>
      <c r="E570" s="84" t="s">
        <v>13</v>
      </c>
      <c r="F570" s="84">
        <v>1.63</v>
      </c>
      <c r="G570" s="85">
        <v>2.85</v>
      </c>
      <c r="H570" s="88"/>
      <c r="I570" s="84">
        <f t="shared" ref="I570:I595" si="29">G570*$H$569</f>
        <v>513</v>
      </c>
    </row>
    <row r="571" ht="14.25" spans="1:9">
      <c r="A571" s="87"/>
      <c r="B571" s="101" t="s">
        <v>96</v>
      </c>
      <c r="C571" s="102"/>
      <c r="D571" s="103"/>
      <c r="E571" s="84" t="s">
        <v>13</v>
      </c>
      <c r="F571" s="84">
        <v>1.6</v>
      </c>
      <c r="G571" s="85">
        <v>0.26</v>
      </c>
      <c r="H571" s="88"/>
      <c r="I571" s="84">
        <f t="shared" si="29"/>
        <v>46.8</v>
      </c>
    </row>
    <row r="572" ht="14.25" spans="1:9">
      <c r="A572" s="87"/>
      <c r="B572" s="101" t="s">
        <v>97</v>
      </c>
      <c r="C572" s="102"/>
      <c r="D572" s="103"/>
      <c r="E572" s="84" t="s">
        <v>13</v>
      </c>
      <c r="F572" s="84">
        <v>1.63</v>
      </c>
      <c r="G572" s="85">
        <v>0.26</v>
      </c>
      <c r="H572" s="88"/>
      <c r="I572" s="84">
        <f t="shared" si="29"/>
        <v>46.8</v>
      </c>
    </row>
    <row r="573" ht="14.25" spans="1:9">
      <c r="A573" s="87"/>
      <c r="B573" s="101" t="s">
        <v>98</v>
      </c>
      <c r="C573" s="102"/>
      <c r="D573" s="103"/>
      <c r="E573" s="84" t="s">
        <v>13</v>
      </c>
      <c r="F573" s="84">
        <v>1.65</v>
      </c>
      <c r="G573" s="85">
        <v>0.26</v>
      </c>
      <c r="H573" s="88"/>
      <c r="I573" s="84">
        <f t="shared" si="29"/>
        <v>46.8</v>
      </c>
    </row>
    <row r="574" ht="14.25" spans="1:9">
      <c r="A574" s="87"/>
      <c r="B574" s="101" t="s">
        <v>96</v>
      </c>
      <c r="C574" s="102"/>
      <c r="D574" s="103"/>
      <c r="E574" s="84" t="s">
        <v>13</v>
      </c>
      <c r="F574" s="84">
        <v>1.6</v>
      </c>
      <c r="G574" s="85">
        <v>1.18</v>
      </c>
      <c r="H574" s="88"/>
      <c r="I574" s="84">
        <f t="shared" si="29"/>
        <v>212.4</v>
      </c>
    </row>
    <row r="575" ht="14.25" spans="1:9">
      <c r="A575" s="87"/>
      <c r="B575" s="101" t="s">
        <v>124</v>
      </c>
      <c r="C575" s="102"/>
      <c r="D575" s="103"/>
      <c r="E575" s="84" t="s">
        <v>13</v>
      </c>
      <c r="F575" s="84">
        <v>1.63</v>
      </c>
      <c r="G575" s="85">
        <v>1.18</v>
      </c>
      <c r="H575" s="88"/>
      <c r="I575" s="84">
        <f t="shared" si="29"/>
        <v>212.4</v>
      </c>
    </row>
    <row r="576" ht="14.25" spans="1:9">
      <c r="A576" s="87"/>
      <c r="B576" s="101" t="s">
        <v>100</v>
      </c>
      <c r="C576" s="102"/>
      <c r="D576" s="103"/>
      <c r="E576" s="84" t="s">
        <v>13</v>
      </c>
      <c r="F576" s="84">
        <v>1.65</v>
      </c>
      <c r="G576" s="85">
        <v>1.18</v>
      </c>
      <c r="H576" s="88"/>
      <c r="I576" s="84">
        <f t="shared" si="29"/>
        <v>212.4</v>
      </c>
    </row>
    <row r="577" ht="14.25" spans="1:9">
      <c r="A577" s="87"/>
      <c r="B577" s="101" t="s">
        <v>189</v>
      </c>
      <c r="C577" s="102"/>
      <c r="D577" s="103"/>
      <c r="E577" s="84" t="s">
        <v>13</v>
      </c>
      <c r="F577" s="84">
        <v>1.8</v>
      </c>
      <c r="G577" s="85">
        <v>1.8</v>
      </c>
      <c r="H577" s="88"/>
      <c r="I577" s="84">
        <f t="shared" si="29"/>
        <v>324</v>
      </c>
    </row>
    <row r="578" ht="14.25" spans="1:9">
      <c r="A578" s="87"/>
      <c r="B578" s="104" t="s">
        <v>129</v>
      </c>
      <c r="C578" s="105"/>
      <c r="D578" s="106"/>
      <c r="E578" s="84" t="s">
        <v>13</v>
      </c>
      <c r="F578" s="84">
        <v>1.83</v>
      </c>
      <c r="G578" s="85">
        <v>1.8</v>
      </c>
      <c r="H578" s="88"/>
      <c r="I578" s="84">
        <f t="shared" si="29"/>
        <v>324</v>
      </c>
    </row>
    <row r="579" ht="14.25" spans="1:9">
      <c r="A579" s="87"/>
      <c r="B579" s="101" t="s">
        <v>175</v>
      </c>
      <c r="C579" s="102"/>
      <c r="D579" s="103"/>
      <c r="E579" s="84" t="s">
        <v>13</v>
      </c>
      <c r="F579" s="84">
        <v>1.55</v>
      </c>
      <c r="G579" s="85">
        <v>0.15</v>
      </c>
      <c r="H579" s="88"/>
      <c r="I579" s="84">
        <f t="shared" si="29"/>
        <v>27</v>
      </c>
    </row>
    <row r="580" ht="14.25" spans="1:9">
      <c r="A580" s="87"/>
      <c r="B580" s="101" t="s">
        <v>129</v>
      </c>
      <c r="C580" s="102"/>
      <c r="D580" s="103"/>
      <c r="E580" s="84" t="s">
        <v>13</v>
      </c>
      <c r="F580" s="84">
        <v>1.58</v>
      </c>
      <c r="G580" s="85">
        <v>0.15</v>
      </c>
      <c r="H580" s="88"/>
      <c r="I580" s="84">
        <f t="shared" si="29"/>
        <v>27</v>
      </c>
    </row>
    <row r="581" ht="14.25" spans="1:9">
      <c r="A581" s="87"/>
      <c r="B581" s="101" t="s">
        <v>103</v>
      </c>
      <c r="C581" s="102"/>
      <c r="D581" s="103"/>
      <c r="E581" s="84" t="s">
        <v>13</v>
      </c>
      <c r="F581" s="84">
        <v>1.15</v>
      </c>
      <c r="G581" s="85">
        <v>1.9</v>
      </c>
      <c r="H581" s="88"/>
      <c r="I581" s="84">
        <f t="shared" si="29"/>
        <v>342</v>
      </c>
    </row>
    <row r="582" ht="14.25" spans="1:9">
      <c r="A582" s="87"/>
      <c r="B582" s="101" t="s">
        <v>104</v>
      </c>
      <c r="C582" s="102"/>
      <c r="D582" s="103"/>
      <c r="E582" s="84" t="s">
        <v>13</v>
      </c>
      <c r="F582" s="84">
        <v>1.7</v>
      </c>
      <c r="G582" s="85">
        <v>0.52</v>
      </c>
      <c r="H582" s="88"/>
      <c r="I582" s="84">
        <f t="shared" si="29"/>
        <v>93.6</v>
      </c>
    </row>
    <row r="583" ht="14.25" spans="1:9">
      <c r="A583" s="87"/>
      <c r="B583" s="101" t="s">
        <v>176</v>
      </c>
      <c r="C583" s="102"/>
      <c r="D583" s="103"/>
      <c r="E583" s="84" t="s">
        <v>13</v>
      </c>
      <c r="F583" s="84">
        <v>1.7</v>
      </c>
      <c r="G583" s="85">
        <v>0.75</v>
      </c>
      <c r="H583" s="88"/>
      <c r="I583" s="84">
        <f t="shared" si="29"/>
        <v>135</v>
      </c>
    </row>
    <row r="584" ht="14.25" spans="1:9">
      <c r="A584" s="87"/>
      <c r="B584" s="101" t="s">
        <v>177</v>
      </c>
      <c r="C584" s="102"/>
      <c r="D584" s="103"/>
      <c r="E584" s="84" t="s">
        <v>13</v>
      </c>
      <c r="F584" s="84">
        <v>1.5</v>
      </c>
      <c r="G584" s="85">
        <v>0.28</v>
      </c>
      <c r="H584" s="88"/>
      <c r="I584" s="84">
        <f t="shared" si="29"/>
        <v>50.4</v>
      </c>
    </row>
    <row r="585" ht="14.25" spans="1:9">
      <c r="A585" s="87"/>
      <c r="B585" s="101" t="s">
        <v>192</v>
      </c>
      <c r="C585" s="102"/>
      <c r="D585" s="103"/>
      <c r="E585" s="84" t="s">
        <v>13</v>
      </c>
      <c r="F585" s="84" t="s">
        <v>54</v>
      </c>
      <c r="G585" s="85">
        <v>7.6</v>
      </c>
      <c r="H585" s="88"/>
      <c r="I585" s="84">
        <f t="shared" si="29"/>
        <v>1368</v>
      </c>
    </row>
    <row r="586" ht="14.25" spans="1:9">
      <c r="A586" s="87"/>
      <c r="B586" s="104" t="s">
        <v>179</v>
      </c>
      <c r="C586" s="105"/>
      <c r="D586" s="106"/>
      <c r="E586" s="84" t="s">
        <v>13</v>
      </c>
      <c r="F586" s="84" t="s">
        <v>54</v>
      </c>
      <c r="G586" s="85">
        <v>0.35</v>
      </c>
      <c r="H586" s="88"/>
      <c r="I586" s="84">
        <f t="shared" si="29"/>
        <v>63</v>
      </c>
    </row>
    <row r="587" ht="14.25" spans="1:9">
      <c r="A587" s="87"/>
      <c r="B587" s="101" t="s">
        <v>108</v>
      </c>
      <c r="C587" s="102"/>
      <c r="D587" s="102"/>
      <c r="E587" s="84" t="s">
        <v>13</v>
      </c>
      <c r="F587" s="84" t="s">
        <v>109</v>
      </c>
      <c r="G587" s="85">
        <v>34</v>
      </c>
      <c r="H587" s="88"/>
      <c r="I587" s="84">
        <f t="shared" si="29"/>
        <v>6120</v>
      </c>
    </row>
    <row r="588" ht="14.25" spans="1:9">
      <c r="A588" s="87"/>
      <c r="B588" s="101" t="s">
        <v>190</v>
      </c>
      <c r="C588" s="102"/>
      <c r="D588" s="102"/>
      <c r="E588" s="84" t="s">
        <v>60</v>
      </c>
      <c r="F588" s="84" t="s">
        <v>54</v>
      </c>
      <c r="G588" s="85">
        <v>2</v>
      </c>
      <c r="H588" s="88"/>
      <c r="I588" s="84">
        <f t="shared" si="29"/>
        <v>360</v>
      </c>
    </row>
    <row r="589" ht="30" customHeight="1" spans="1:9">
      <c r="A589" s="87"/>
      <c r="B589" s="117" t="s">
        <v>111</v>
      </c>
      <c r="C589" s="118"/>
      <c r="D589" s="118"/>
      <c r="E589" s="84" t="s">
        <v>53</v>
      </c>
      <c r="F589" s="84" t="s">
        <v>54</v>
      </c>
      <c r="G589" s="85">
        <v>1</v>
      </c>
      <c r="H589" s="88"/>
      <c r="I589" s="84">
        <f t="shared" si="29"/>
        <v>180</v>
      </c>
    </row>
    <row r="590" ht="14.25" spans="1:9">
      <c r="A590" s="87"/>
      <c r="B590" s="101" t="s">
        <v>112</v>
      </c>
      <c r="C590" s="102"/>
      <c r="D590" s="102"/>
      <c r="E590" s="84" t="s">
        <v>113</v>
      </c>
      <c r="F590" s="84" t="s">
        <v>54</v>
      </c>
      <c r="G590" s="85">
        <v>2</v>
      </c>
      <c r="H590" s="88"/>
      <c r="I590" s="84">
        <f t="shared" si="29"/>
        <v>360</v>
      </c>
    </row>
    <row r="591" ht="14.25" spans="1:9">
      <c r="A591" s="87"/>
      <c r="B591" s="101" t="s">
        <v>114</v>
      </c>
      <c r="C591" s="102"/>
      <c r="D591" s="102"/>
      <c r="E591" s="84" t="s">
        <v>13</v>
      </c>
      <c r="F591" s="84" t="s">
        <v>54</v>
      </c>
      <c r="G591" s="85">
        <v>1</v>
      </c>
      <c r="H591" s="88"/>
      <c r="I591" s="84">
        <f t="shared" si="29"/>
        <v>180</v>
      </c>
    </row>
    <row r="592" ht="14.25" spans="1:9">
      <c r="A592" s="87"/>
      <c r="B592" s="101" t="s">
        <v>115</v>
      </c>
      <c r="C592" s="102"/>
      <c r="D592" s="102"/>
      <c r="E592" s="84" t="s">
        <v>19</v>
      </c>
      <c r="F592" s="84" t="s">
        <v>54</v>
      </c>
      <c r="G592" s="85">
        <v>4</v>
      </c>
      <c r="H592" s="88"/>
      <c r="I592" s="84">
        <f t="shared" si="29"/>
        <v>720</v>
      </c>
    </row>
    <row r="593" ht="14.25" spans="1:9">
      <c r="A593" s="87"/>
      <c r="B593" s="101" t="s">
        <v>116</v>
      </c>
      <c r="C593" s="102"/>
      <c r="D593" s="102"/>
      <c r="E593" s="84" t="s">
        <v>13</v>
      </c>
      <c r="F593" s="84" t="s">
        <v>117</v>
      </c>
      <c r="G593" s="85">
        <v>7.5</v>
      </c>
      <c r="H593" s="88"/>
      <c r="I593" s="84">
        <f t="shared" si="29"/>
        <v>1350</v>
      </c>
    </row>
    <row r="594" ht="14.25" spans="1:9">
      <c r="A594" s="87"/>
      <c r="B594" s="101" t="s">
        <v>118</v>
      </c>
      <c r="C594" s="102"/>
      <c r="D594" s="102"/>
      <c r="E594" s="84" t="s">
        <v>13</v>
      </c>
      <c r="F594" s="84" t="s">
        <v>119</v>
      </c>
      <c r="G594" s="85">
        <v>1</v>
      </c>
      <c r="H594" s="88"/>
      <c r="I594" s="84">
        <f t="shared" si="29"/>
        <v>180</v>
      </c>
    </row>
    <row r="595" ht="30" customHeight="1" spans="1:9">
      <c r="A595" s="87"/>
      <c r="B595" s="110" t="s">
        <v>48</v>
      </c>
      <c r="C595" s="111"/>
      <c r="D595" s="111"/>
      <c r="E595" s="84" t="s">
        <v>49</v>
      </c>
      <c r="F595" s="84" t="s">
        <v>69</v>
      </c>
      <c r="G595" s="85">
        <v>2</v>
      </c>
      <c r="H595" s="88"/>
      <c r="I595" s="84">
        <f t="shared" si="29"/>
        <v>360</v>
      </c>
    </row>
    <row r="596" ht="14.25" spans="1:9">
      <c r="A596" s="92"/>
      <c r="B596" s="104" t="s">
        <v>32</v>
      </c>
      <c r="C596" s="105"/>
      <c r="D596" s="106"/>
      <c r="E596" s="84"/>
      <c r="F596" s="84"/>
      <c r="G596" s="85"/>
      <c r="H596" s="93"/>
      <c r="I596" s="84"/>
    </row>
    <row r="597" ht="14.25" spans="1:9">
      <c r="A597" s="83" t="s">
        <v>193</v>
      </c>
      <c r="B597" s="101" t="s">
        <v>96</v>
      </c>
      <c r="C597" s="102"/>
      <c r="D597" s="103"/>
      <c r="E597" s="84" t="s">
        <v>13</v>
      </c>
      <c r="F597" s="84">
        <v>1.6</v>
      </c>
      <c r="G597" s="85">
        <v>2.85</v>
      </c>
      <c r="H597" s="86">
        <v>140</v>
      </c>
      <c r="I597" s="84">
        <f>G597*$H$597</f>
        <v>399</v>
      </c>
    </row>
    <row r="598" ht="14.25" spans="1:9">
      <c r="A598" s="87"/>
      <c r="B598" s="101" t="s">
        <v>97</v>
      </c>
      <c r="C598" s="102"/>
      <c r="D598" s="103"/>
      <c r="E598" s="84" t="s">
        <v>13</v>
      </c>
      <c r="F598" s="84">
        <v>1.63</v>
      </c>
      <c r="G598" s="85">
        <v>2.85</v>
      </c>
      <c r="H598" s="88"/>
      <c r="I598" s="84">
        <f t="shared" ref="I598:I620" si="30">G598*$H$597</f>
        <v>399</v>
      </c>
    </row>
    <row r="599" ht="14.25" spans="1:9">
      <c r="A599" s="87"/>
      <c r="B599" s="101" t="s">
        <v>96</v>
      </c>
      <c r="C599" s="102"/>
      <c r="D599" s="103"/>
      <c r="E599" s="84" t="s">
        <v>13</v>
      </c>
      <c r="F599" s="84">
        <v>1.6</v>
      </c>
      <c r="G599" s="85">
        <v>1.18</v>
      </c>
      <c r="H599" s="88"/>
      <c r="I599" s="84">
        <f t="shared" si="30"/>
        <v>165.2</v>
      </c>
    </row>
    <row r="600" ht="14.25" spans="1:9">
      <c r="A600" s="87"/>
      <c r="B600" s="101" t="s">
        <v>99</v>
      </c>
      <c r="C600" s="102"/>
      <c r="D600" s="103"/>
      <c r="E600" s="84" t="s">
        <v>13</v>
      </c>
      <c r="F600" s="84">
        <v>1.63</v>
      </c>
      <c r="G600" s="85">
        <v>1.18</v>
      </c>
      <c r="H600" s="88"/>
      <c r="I600" s="84">
        <f t="shared" si="30"/>
        <v>165.2</v>
      </c>
    </row>
    <row r="601" ht="14.25" spans="1:9">
      <c r="A601" s="87"/>
      <c r="B601" s="101" t="s">
        <v>100</v>
      </c>
      <c r="C601" s="102"/>
      <c r="D601" s="103"/>
      <c r="E601" s="84" t="s">
        <v>13</v>
      </c>
      <c r="F601" s="84">
        <v>1.65</v>
      </c>
      <c r="G601" s="85">
        <v>1.18</v>
      </c>
      <c r="H601" s="88"/>
      <c r="I601" s="84">
        <f t="shared" si="30"/>
        <v>165.2</v>
      </c>
    </row>
    <row r="602" ht="14.25" spans="1:9">
      <c r="A602" s="87"/>
      <c r="B602" s="101" t="s">
        <v>189</v>
      </c>
      <c r="C602" s="102"/>
      <c r="D602" s="103"/>
      <c r="E602" s="84" t="s">
        <v>13</v>
      </c>
      <c r="F602" s="84">
        <v>1.8</v>
      </c>
      <c r="G602" s="85">
        <v>2.03</v>
      </c>
      <c r="H602" s="88"/>
      <c r="I602" s="84">
        <f t="shared" si="30"/>
        <v>284.2</v>
      </c>
    </row>
    <row r="603" ht="14.25" spans="1:9">
      <c r="A603" s="87"/>
      <c r="B603" s="104" t="s">
        <v>129</v>
      </c>
      <c r="C603" s="105"/>
      <c r="D603" s="106"/>
      <c r="E603" s="84" t="s">
        <v>13</v>
      </c>
      <c r="F603" s="84">
        <v>1.83</v>
      </c>
      <c r="G603" s="85">
        <v>2.03</v>
      </c>
      <c r="H603" s="88"/>
      <c r="I603" s="84">
        <f t="shared" si="30"/>
        <v>284.2</v>
      </c>
    </row>
    <row r="604" ht="14.25" spans="1:9">
      <c r="A604" s="87"/>
      <c r="B604" s="101" t="s">
        <v>175</v>
      </c>
      <c r="C604" s="102"/>
      <c r="D604" s="103"/>
      <c r="E604" s="84" t="s">
        <v>13</v>
      </c>
      <c r="F604" s="84">
        <v>1.55</v>
      </c>
      <c r="G604" s="85">
        <v>0.15</v>
      </c>
      <c r="H604" s="88"/>
      <c r="I604" s="84">
        <f t="shared" si="30"/>
        <v>21</v>
      </c>
    </row>
    <row r="605" ht="14.25" spans="1:9">
      <c r="A605" s="87"/>
      <c r="B605" s="101" t="s">
        <v>129</v>
      </c>
      <c r="C605" s="102"/>
      <c r="D605" s="103"/>
      <c r="E605" s="84" t="s">
        <v>13</v>
      </c>
      <c r="F605" s="84">
        <v>1.58</v>
      </c>
      <c r="G605" s="85">
        <v>0.15</v>
      </c>
      <c r="H605" s="88"/>
      <c r="I605" s="84">
        <f t="shared" si="30"/>
        <v>21</v>
      </c>
    </row>
    <row r="606" ht="14.25" spans="1:9">
      <c r="A606" s="87"/>
      <c r="B606" s="101" t="s">
        <v>103</v>
      </c>
      <c r="C606" s="102"/>
      <c r="D606" s="103"/>
      <c r="E606" s="84" t="s">
        <v>13</v>
      </c>
      <c r="F606" s="84">
        <v>1.15</v>
      </c>
      <c r="G606" s="85">
        <v>1.9</v>
      </c>
      <c r="H606" s="88"/>
      <c r="I606" s="84">
        <f t="shared" si="30"/>
        <v>266</v>
      </c>
    </row>
    <row r="607" ht="14.25" spans="1:9">
      <c r="A607" s="87"/>
      <c r="B607" s="101" t="s">
        <v>104</v>
      </c>
      <c r="C607" s="102"/>
      <c r="D607" s="103"/>
      <c r="E607" s="84" t="s">
        <v>13</v>
      </c>
      <c r="F607" s="84">
        <v>1.7</v>
      </c>
      <c r="G607" s="85">
        <v>0.52</v>
      </c>
      <c r="H607" s="88"/>
      <c r="I607" s="84">
        <f t="shared" si="30"/>
        <v>72.8</v>
      </c>
    </row>
    <row r="608" ht="14.25" spans="1:9">
      <c r="A608" s="87"/>
      <c r="B608" s="101" t="s">
        <v>176</v>
      </c>
      <c r="C608" s="102"/>
      <c r="D608" s="103"/>
      <c r="E608" s="84" t="s">
        <v>13</v>
      </c>
      <c r="F608" s="84">
        <v>1.7</v>
      </c>
      <c r="G608" s="85">
        <v>0.75</v>
      </c>
      <c r="H608" s="88"/>
      <c r="I608" s="84">
        <f t="shared" si="30"/>
        <v>105</v>
      </c>
    </row>
    <row r="609" ht="14.25" spans="1:9">
      <c r="A609" s="87"/>
      <c r="B609" s="101" t="s">
        <v>183</v>
      </c>
      <c r="C609" s="102"/>
      <c r="D609" s="103"/>
      <c r="E609" s="84" t="s">
        <v>13</v>
      </c>
      <c r="F609" s="84">
        <v>1.5</v>
      </c>
      <c r="G609" s="85">
        <v>0.28</v>
      </c>
      <c r="H609" s="88"/>
      <c r="I609" s="84">
        <f t="shared" si="30"/>
        <v>39.2</v>
      </c>
    </row>
    <row r="610" ht="14.25" spans="1:9">
      <c r="A610" s="87"/>
      <c r="B610" s="101" t="s">
        <v>194</v>
      </c>
      <c r="C610" s="102"/>
      <c r="D610" s="103"/>
      <c r="E610" s="84" t="s">
        <v>13</v>
      </c>
      <c r="F610" s="84" t="s">
        <v>54</v>
      </c>
      <c r="G610" s="85">
        <v>7.6</v>
      </c>
      <c r="H610" s="88"/>
      <c r="I610" s="84">
        <f t="shared" si="30"/>
        <v>1064</v>
      </c>
    </row>
    <row r="611" ht="14.25" spans="1:9">
      <c r="A611" s="87"/>
      <c r="B611" s="104" t="s">
        <v>179</v>
      </c>
      <c r="C611" s="105"/>
      <c r="D611" s="106"/>
      <c r="E611" s="84" t="s">
        <v>13</v>
      </c>
      <c r="F611" s="84" t="s">
        <v>54</v>
      </c>
      <c r="G611" s="85">
        <v>0.35</v>
      </c>
      <c r="H611" s="88"/>
      <c r="I611" s="84">
        <f t="shared" si="30"/>
        <v>49</v>
      </c>
    </row>
    <row r="612" ht="14.25" spans="1:9">
      <c r="A612" s="87"/>
      <c r="B612" s="101" t="s">
        <v>108</v>
      </c>
      <c r="C612" s="102"/>
      <c r="D612" s="102"/>
      <c r="E612" s="84" t="s">
        <v>13</v>
      </c>
      <c r="F612" s="84" t="s">
        <v>109</v>
      </c>
      <c r="G612" s="85">
        <v>31</v>
      </c>
      <c r="H612" s="88"/>
      <c r="I612" s="84">
        <f t="shared" si="30"/>
        <v>4340</v>
      </c>
    </row>
    <row r="613" ht="14.25" spans="1:9">
      <c r="A613" s="87"/>
      <c r="B613" s="101" t="s">
        <v>190</v>
      </c>
      <c r="C613" s="102"/>
      <c r="D613" s="102"/>
      <c r="E613" s="84" t="s">
        <v>60</v>
      </c>
      <c r="F613" s="84" t="s">
        <v>54</v>
      </c>
      <c r="G613" s="85">
        <v>2</v>
      </c>
      <c r="H613" s="88"/>
      <c r="I613" s="84">
        <f t="shared" si="30"/>
        <v>280</v>
      </c>
    </row>
    <row r="614" ht="34" customHeight="1" spans="1:9">
      <c r="A614" s="87"/>
      <c r="B614" s="117" t="s">
        <v>111</v>
      </c>
      <c r="C614" s="118"/>
      <c r="D614" s="118"/>
      <c r="E614" s="84" t="s">
        <v>53</v>
      </c>
      <c r="F614" s="84" t="s">
        <v>54</v>
      </c>
      <c r="G614" s="85">
        <v>1</v>
      </c>
      <c r="H614" s="88"/>
      <c r="I614" s="84">
        <f t="shared" si="30"/>
        <v>140</v>
      </c>
    </row>
    <row r="615" ht="14.25" spans="1:9">
      <c r="A615" s="87"/>
      <c r="B615" s="101" t="s">
        <v>112</v>
      </c>
      <c r="C615" s="102"/>
      <c r="D615" s="102"/>
      <c r="E615" s="84" t="s">
        <v>113</v>
      </c>
      <c r="F615" s="84" t="s">
        <v>54</v>
      </c>
      <c r="G615" s="85">
        <v>2</v>
      </c>
      <c r="H615" s="88"/>
      <c r="I615" s="84">
        <f t="shared" si="30"/>
        <v>280</v>
      </c>
    </row>
    <row r="616" ht="14.25" spans="1:9">
      <c r="A616" s="87"/>
      <c r="B616" s="101" t="s">
        <v>114</v>
      </c>
      <c r="C616" s="102"/>
      <c r="D616" s="102"/>
      <c r="E616" s="84" t="s">
        <v>13</v>
      </c>
      <c r="F616" s="84" t="s">
        <v>54</v>
      </c>
      <c r="G616" s="85">
        <v>1</v>
      </c>
      <c r="H616" s="88"/>
      <c r="I616" s="84">
        <f t="shared" si="30"/>
        <v>140</v>
      </c>
    </row>
    <row r="617" ht="14.25" spans="1:9">
      <c r="A617" s="87"/>
      <c r="B617" s="101" t="s">
        <v>115</v>
      </c>
      <c r="C617" s="102"/>
      <c r="D617" s="102"/>
      <c r="E617" s="84" t="s">
        <v>19</v>
      </c>
      <c r="F617" s="84" t="s">
        <v>54</v>
      </c>
      <c r="G617" s="85">
        <v>4</v>
      </c>
      <c r="H617" s="88"/>
      <c r="I617" s="84">
        <f t="shared" si="30"/>
        <v>560</v>
      </c>
    </row>
    <row r="618" ht="14.25" spans="1:9">
      <c r="A618" s="87"/>
      <c r="B618" s="101" t="s">
        <v>116</v>
      </c>
      <c r="C618" s="102"/>
      <c r="D618" s="102"/>
      <c r="E618" s="84" t="s">
        <v>13</v>
      </c>
      <c r="F618" s="84" t="s">
        <v>117</v>
      </c>
      <c r="G618" s="85">
        <v>7.5</v>
      </c>
      <c r="H618" s="88"/>
      <c r="I618" s="84">
        <f t="shared" si="30"/>
        <v>1050</v>
      </c>
    </row>
    <row r="619" ht="14.25" spans="1:9">
      <c r="A619" s="87"/>
      <c r="B619" s="101" t="s">
        <v>118</v>
      </c>
      <c r="C619" s="102"/>
      <c r="D619" s="102"/>
      <c r="E619" s="84" t="s">
        <v>13</v>
      </c>
      <c r="F619" s="84" t="s">
        <v>119</v>
      </c>
      <c r="G619" s="85">
        <v>1</v>
      </c>
      <c r="H619" s="88"/>
      <c r="I619" s="84">
        <f t="shared" si="30"/>
        <v>140</v>
      </c>
    </row>
    <row r="620" ht="32" customHeight="1" spans="1:9">
      <c r="A620" s="87"/>
      <c r="B620" s="110" t="s">
        <v>48</v>
      </c>
      <c r="C620" s="111"/>
      <c r="D620" s="111"/>
      <c r="E620" s="84" t="s">
        <v>49</v>
      </c>
      <c r="F620" s="84" t="s">
        <v>69</v>
      </c>
      <c r="G620" s="85">
        <v>2</v>
      </c>
      <c r="H620" s="88"/>
      <c r="I620" s="84">
        <f t="shared" si="30"/>
        <v>280</v>
      </c>
    </row>
    <row r="621" ht="14.25" spans="1:9">
      <c r="A621" s="92"/>
      <c r="B621" s="104" t="s">
        <v>32</v>
      </c>
      <c r="C621" s="105"/>
      <c r="D621" s="106"/>
      <c r="E621" s="84"/>
      <c r="F621" s="84"/>
      <c r="G621" s="85"/>
      <c r="H621" s="93"/>
      <c r="I621" s="84"/>
    </row>
    <row r="622" ht="14.25" spans="1:9">
      <c r="A622" s="83" t="s">
        <v>195</v>
      </c>
      <c r="B622" s="101" t="s">
        <v>96</v>
      </c>
      <c r="C622" s="102"/>
      <c r="D622" s="103"/>
      <c r="E622" s="84" t="s">
        <v>13</v>
      </c>
      <c r="F622" s="84">
        <v>1.6</v>
      </c>
      <c r="G622" s="85">
        <v>2.85</v>
      </c>
      <c r="H622" s="86">
        <v>240</v>
      </c>
      <c r="I622" s="84">
        <f>G622*$H$622</f>
        <v>684</v>
      </c>
    </row>
    <row r="623" ht="14.25" spans="1:9">
      <c r="A623" s="87"/>
      <c r="B623" s="101" t="s">
        <v>97</v>
      </c>
      <c r="C623" s="102"/>
      <c r="D623" s="103"/>
      <c r="E623" s="84" t="s">
        <v>13</v>
      </c>
      <c r="F623" s="84">
        <v>1.63</v>
      </c>
      <c r="G623" s="85">
        <v>2.85</v>
      </c>
      <c r="H623" s="88"/>
      <c r="I623" s="84">
        <f t="shared" ref="I623:I648" si="31">G623*$H$622</f>
        <v>684</v>
      </c>
    </row>
    <row r="624" ht="14.25" spans="1:9">
      <c r="A624" s="87"/>
      <c r="B624" s="101" t="s">
        <v>96</v>
      </c>
      <c r="C624" s="102"/>
      <c r="D624" s="103"/>
      <c r="E624" s="84" t="s">
        <v>13</v>
      </c>
      <c r="F624" s="84">
        <v>1.6</v>
      </c>
      <c r="G624" s="85">
        <v>0.26</v>
      </c>
      <c r="H624" s="88"/>
      <c r="I624" s="84">
        <f t="shared" si="31"/>
        <v>62.4</v>
      </c>
    </row>
    <row r="625" ht="14.25" spans="1:9">
      <c r="A625" s="87"/>
      <c r="B625" s="101" t="s">
        <v>97</v>
      </c>
      <c r="C625" s="102"/>
      <c r="D625" s="103"/>
      <c r="E625" s="84" t="s">
        <v>13</v>
      </c>
      <c r="F625" s="84">
        <v>1.63</v>
      </c>
      <c r="G625" s="85">
        <v>0.26</v>
      </c>
      <c r="H625" s="88"/>
      <c r="I625" s="84">
        <f t="shared" si="31"/>
        <v>62.4</v>
      </c>
    </row>
    <row r="626" ht="14.25" spans="1:9">
      <c r="A626" s="87"/>
      <c r="B626" s="101" t="s">
        <v>98</v>
      </c>
      <c r="C626" s="102"/>
      <c r="D626" s="103"/>
      <c r="E626" s="84" t="s">
        <v>13</v>
      </c>
      <c r="F626" s="84">
        <v>1.65</v>
      </c>
      <c r="G626" s="85">
        <v>0.26</v>
      </c>
      <c r="H626" s="88"/>
      <c r="I626" s="84">
        <f t="shared" si="31"/>
        <v>62.4</v>
      </c>
    </row>
    <row r="627" ht="14.25" spans="1:9">
      <c r="A627" s="87"/>
      <c r="B627" s="101" t="s">
        <v>96</v>
      </c>
      <c r="C627" s="102"/>
      <c r="D627" s="103"/>
      <c r="E627" s="84" t="s">
        <v>13</v>
      </c>
      <c r="F627" s="84">
        <v>1.6</v>
      </c>
      <c r="G627" s="85">
        <v>1.18</v>
      </c>
      <c r="H627" s="88"/>
      <c r="I627" s="84">
        <f t="shared" si="31"/>
        <v>283.2</v>
      </c>
    </row>
    <row r="628" ht="14.25" spans="1:9">
      <c r="A628" s="87"/>
      <c r="B628" s="101" t="s">
        <v>124</v>
      </c>
      <c r="C628" s="102"/>
      <c r="D628" s="103"/>
      <c r="E628" s="84" t="s">
        <v>13</v>
      </c>
      <c r="F628" s="84">
        <v>1.63</v>
      </c>
      <c r="G628" s="85">
        <v>1.18</v>
      </c>
      <c r="H628" s="88"/>
      <c r="I628" s="84">
        <f t="shared" si="31"/>
        <v>283.2</v>
      </c>
    </row>
    <row r="629" ht="14.25" spans="1:9">
      <c r="A629" s="87"/>
      <c r="B629" s="101" t="s">
        <v>100</v>
      </c>
      <c r="C629" s="102"/>
      <c r="D629" s="103"/>
      <c r="E629" s="84" t="s">
        <v>13</v>
      </c>
      <c r="F629" s="84">
        <v>1.65</v>
      </c>
      <c r="G629" s="85">
        <v>1.18</v>
      </c>
      <c r="H629" s="88"/>
      <c r="I629" s="84">
        <f t="shared" si="31"/>
        <v>283.2</v>
      </c>
    </row>
    <row r="630" ht="14.25" spans="1:9">
      <c r="A630" s="87"/>
      <c r="B630" s="101" t="s">
        <v>189</v>
      </c>
      <c r="C630" s="102"/>
      <c r="D630" s="103"/>
      <c r="E630" s="84" t="s">
        <v>13</v>
      </c>
      <c r="F630" s="84">
        <v>1.8</v>
      </c>
      <c r="G630" s="85">
        <v>1.8</v>
      </c>
      <c r="H630" s="88"/>
      <c r="I630" s="84">
        <f t="shared" si="31"/>
        <v>432</v>
      </c>
    </row>
    <row r="631" ht="14.25" spans="1:9">
      <c r="A631" s="87"/>
      <c r="B631" s="104" t="s">
        <v>129</v>
      </c>
      <c r="C631" s="105"/>
      <c r="D631" s="106"/>
      <c r="E631" s="84" t="s">
        <v>13</v>
      </c>
      <c r="F631" s="84">
        <v>1.83</v>
      </c>
      <c r="G631" s="85">
        <v>1.8</v>
      </c>
      <c r="H631" s="88"/>
      <c r="I631" s="84">
        <f t="shared" si="31"/>
        <v>432</v>
      </c>
    </row>
    <row r="632" ht="14.25" spans="1:9">
      <c r="A632" s="87"/>
      <c r="B632" s="101" t="s">
        <v>175</v>
      </c>
      <c r="C632" s="102"/>
      <c r="D632" s="103"/>
      <c r="E632" s="84" t="s">
        <v>13</v>
      </c>
      <c r="F632" s="84">
        <v>1.55</v>
      </c>
      <c r="G632" s="85">
        <v>0.15</v>
      </c>
      <c r="H632" s="88"/>
      <c r="I632" s="84">
        <f t="shared" si="31"/>
        <v>36</v>
      </c>
    </row>
    <row r="633" ht="14.25" spans="1:9">
      <c r="A633" s="87"/>
      <c r="B633" s="101" t="s">
        <v>129</v>
      </c>
      <c r="C633" s="102"/>
      <c r="D633" s="103"/>
      <c r="E633" s="84" t="s">
        <v>13</v>
      </c>
      <c r="F633" s="84">
        <v>1.58</v>
      </c>
      <c r="G633" s="85">
        <v>0.15</v>
      </c>
      <c r="H633" s="88"/>
      <c r="I633" s="84">
        <f t="shared" si="31"/>
        <v>36</v>
      </c>
    </row>
    <row r="634" ht="14.25" spans="1:9">
      <c r="A634" s="87"/>
      <c r="B634" s="101" t="s">
        <v>103</v>
      </c>
      <c r="C634" s="102"/>
      <c r="D634" s="103"/>
      <c r="E634" s="84" t="s">
        <v>13</v>
      </c>
      <c r="F634" s="84">
        <v>1.15</v>
      </c>
      <c r="G634" s="85">
        <v>1.9</v>
      </c>
      <c r="H634" s="88"/>
      <c r="I634" s="84">
        <f t="shared" si="31"/>
        <v>456</v>
      </c>
    </row>
    <row r="635" ht="14.25" spans="1:9">
      <c r="A635" s="87"/>
      <c r="B635" s="101" t="s">
        <v>104</v>
      </c>
      <c r="C635" s="102"/>
      <c r="D635" s="103"/>
      <c r="E635" s="84" t="s">
        <v>13</v>
      </c>
      <c r="F635" s="84">
        <v>1.7</v>
      </c>
      <c r="G635" s="85">
        <v>0.52</v>
      </c>
      <c r="H635" s="88"/>
      <c r="I635" s="84">
        <f t="shared" si="31"/>
        <v>124.8</v>
      </c>
    </row>
    <row r="636" ht="14.25" spans="1:9">
      <c r="A636" s="87"/>
      <c r="B636" s="101" t="s">
        <v>176</v>
      </c>
      <c r="C636" s="102"/>
      <c r="D636" s="103"/>
      <c r="E636" s="84" t="s">
        <v>13</v>
      </c>
      <c r="F636" s="84">
        <v>1.7</v>
      </c>
      <c r="G636" s="85">
        <v>0.75</v>
      </c>
      <c r="H636" s="88"/>
      <c r="I636" s="84">
        <f t="shared" si="31"/>
        <v>180</v>
      </c>
    </row>
    <row r="637" ht="14.25" spans="1:9">
      <c r="A637" s="87"/>
      <c r="B637" s="101" t="s">
        <v>177</v>
      </c>
      <c r="C637" s="102"/>
      <c r="D637" s="103"/>
      <c r="E637" s="84" t="s">
        <v>13</v>
      </c>
      <c r="F637" s="84">
        <v>1.5</v>
      </c>
      <c r="G637" s="85">
        <v>0.28</v>
      </c>
      <c r="H637" s="88"/>
      <c r="I637" s="84">
        <f t="shared" si="31"/>
        <v>67.2</v>
      </c>
    </row>
    <row r="638" ht="14.25" spans="1:9">
      <c r="A638" s="87"/>
      <c r="B638" s="101" t="s">
        <v>196</v>
      </c>
      <c r="C638" s="102"/>
      <c r="D638" s="103"/>
      <c r="E638" s="84" t="s">
        <v>13</v>
      </c>
      <c r="F638" s="84" t="s">
        <v>54</v>
      </c>
      <c r="G638" s="85">
        <v>7.6</v>
      </c>
      <c r="H638" s="88"/>
      <c r="I638" s="84">
        <f t="shared" si="31"/>
        <v>1824</v>
      </c>
    </row>
    <row r="639" ht="14.25" spans="1:9">
      <c r="A639" s="87"/>
      <c r="B639" s="104" t="s">
        <v>179</v>
      </c>
      <c r="C639" s="105"/>
      <c r="D639" s="106"/>
      <c r="E639" s="84" t="s">
        <v>13</v>
      </c>
      <c r="F639" s="84" t="s">
        <v>54</v>
      </c>
      <c r="G639" s="85">
        <v>0.35</v>
      </c>
      <c r="H639" s="88"/>
      <c r="I639" s="84">
        <f t="shared" si="31"/>
        <v>84</v>
      </c>
    </row>
    <row r="640" ht="14.25" spans="1:9">
      <c r="A640" s="87"/>
      <c r="B640" s="101" t="s">
        <v>108</v>
      </c>
      <c r="C640" s="102"/>
      <c r="D640" s="102"/>
      <c r="E640" s="84" t="s">
        <v>13</v>
      </c>
      <c r="F640" s="84" t="s">
        <v>109</v>
      </c>
      <c r="G640" s="85">
        <v>34</v>
      </c>
      <c r="H640" s="88"/>
      <c r="I640" s="84">
        <f t="shared" si="31"/>
        <v>8160</v>
      </c>
    </row>
    <row r="641" ht="14.25" spans="1:9">
      <c r="A641" s="87"/>
      <c r="B641" s="101" t="s">
        <v>190</v>
      </c>
      <c r="C641" s="102"/>
      <c r="D641" s="102"/>
      <c r="E641" s="84" t="s">
        <v>60</v>
      </c>
      <c r="F641" s="84" t="s">
        <v>54</v>
      </c>
      <c r="G641" s="85">
        <v>2</v>
      </c>
      <c r="H641" s="88"/>
      <c r="I641" s="84">
        <f t="shared" si="31"/>
        <v>480</v>
      </c>
    </row>
    <row r="642" ht="42" customHeight="1" spans="1:9">
      <c r="A642" s="87"/>
      <c r="B642" s="117" t="s">
        <v>111</v>
      </c>
      <c r="C642" s="118"/>
      <c r="D642" s="118"/>
      <c r="E642" s="84" t="s">
        <v>53</v>
      </c>
      <c r="F642" s="84" t="s">
        <v>54</v>
      </c>
      <c r="G642" s="85">
        <v>1</v>
      </c>
      <c r="H642" s="88"/>
      <c r="I642" s="84">
        <f t="shared" si="31"/>
        <v>240</v>
      </c>
    </row>
    <row r="643" ht="14.25" spans="1:9">
      <c r="A643" s="87"/>
      <c r="B643" s="101" t="s">
        <v>112</v>
      </c>
      <c r="C643" s="102"/>
      <c r="D643" s="102"/>
      <c r="E643" s="84" t="s">
        <v>113</v>
      </c>
      <c r="F643" s="84" t="s">
        <v>54</v>
      </c>
      <c r="G643" s="85">
        <v>2</v>
      </c>
      <c r="H643" s="88"/>
      <c r="I643" s="84">
        <f t="shared" si="31"/>
        <v>480</v>
      </c>
    </row>
    <row r="644" ht="14.25" spans="1:9">
      <c r="A644" s="87"/>
      <c r="B644" s="101" t="s">
        <v>114</v>
      </c>
      <c r="C644" s="102"/>
      <c r="D644" s="102"/>
      <c r="E644" s="84" t="s">
        <v>13</v>
      </c>
      <c r="F644" s="84" t="s">
        <v>54</v>
      </c>
      <c r="G644" s="85">
        <v>1</v>
      </c>
      <c r="H644" s="88"/>
      <c r="I644" s="84">
        <f t="shared" si="31"/>
        <v>240</v>
      </c>
    </row>
    <row r="645" ht="14.25" spans="1:9">
      <c r="A645" s="87"/>
      <c r="B645" s="101" t="s">
        <v>115</v>
      </c>
      <c r="C645" s="102"/>
      <c r="D645" s="102"/>
      <c r="E645" s="84" t="s">
        <v>19</v>
      </c>
      <c r="F645" s="84" t="s">
        <v>54</v>
      </c>
      <c r="G645" s="85">
        <v>4</v>
      </c>
      <c r="H645" s="88"/>
      <c r="I645" s="84">
        <f t="shared" si="31"/>
        <v>960</v>
      </c>
    </row>
    <row r="646" ht="14.25" spans="1:9">
      <c r="A646" s="87"/>
      <c r="B646" s="101" t="s">
        <v>116</v>
      </c>
      <c r="C646" s="102"/>
      <c r="D646" s="102"/>
      <c r="E646" s="84" t="s">
        <v>13</v>
      </c>
      <c r="F646" s="84" t="s">
        <v>117</v>
      </c>
      <c r="G646" s="85">
        <v>7.5</v>
      </c>
      <c r="H646" s="88"/>
      <c r="I646" s="84">
        <f t="shared" si="31"/>
        <v>1800</v>
      </c>
    </row>
    <row r="647" ht="14.25" spans="1:9">
      <c r="A647" s="87"/>
      <c r="B647" s="101" t="s">
        <v>118</v>
      </c>
      <c r="C647" s="102"/>
      <c r="D647" s="102"/>
      <c r="E647" s="84" t="s">
        <v>13</v>
      </c>
      <c r="F647" s="84" t="s">
        <v>119</v>
      </c>
      <c r="G647" s="85">
        <v>1</v>
      </c>
      <c r="H647" s="88"/>
      <c r="I647" s="84">
        <f t="shared" si="31"/>
        <v>240</v>
      </c>
    </row>
    <row r="648" ht="37" customHeight="1" spans="1:9">
      <c r="A648" s="87"/>
      <c r="B648" s="110" t="s">
        <v>48</v>
      </c>
      <c r="C648" s="111"/>
      <c r="D648" s="111"/>
      <c r="E648" s="84" t="s">
        <v>49</v>
      </c>
      <c r="F648" s="84" t="s">
        <v>69</v>
      </c>
      <c r="G648" s="85">
        <v>2</v>
      </c>
      <c r="H648" s="88"/>
      <c r="I648" s="84">
        <f t="shared" si="31"/>
        <v>480</v>
      </c>
    </row>
    <row r="649" ht="14.25" spans="1:9">
      <c r="A649" s="92"/>
      <c r="B649" s="104" t="s">
        <v>32</v>
      </c>
      <c r="C649" s="105"/>
      <c r="D649" s="106"/>
      <c r="E649" s="84"/>
      <c r="F649" s="84"/>
      <c r="G649" s="85"/>
      <c r="H649" s="93"/>
      <c r="I649" s="84"/>
    </row>
    <row r="650" ht="14.25" spans="1:9">
      <c r="A650" s="83" t="s">
        <v>197</v>
      </c>
      <c r="B650" s="101" t="s">
        <v>198</v>
      </c>
      <c r="C650" s="102"/>
      <c r="D650" s="103"/>
      <c r="E650" s="84" t="s">
        <v>13</v>
      </c>
      <c r="F650" s="84">
        <v>1.6</v>
      </c>
      <c r="G650" s="85">
        <v>2.25</v>
      </c>
      <c r="H650" s="86">
        <v>50</v>
      </c>
      <c r="I650" s="84">
        <f>G650*$H$650</f>
        <v>112.5</v>
      </c>
    </row>
    <row r="651" ht="14.25" spans="1:9">
      <c r="A651" s="87"/>
      <c r="B651" s="101" t="s">
        <v>97</v>
      </c>
      <c r="C651" s="102"/>
      <c r="D651" s="103"/>
      <c r="E651" s="84" t="s">
        <v>13</v>
      </c>
      <c r="F651" s="84">
        <v>1.63</v>
      </c>
      <c r="G651" s="85">
        <v>2.25</v>
      </c>
      <c r="H651" s="88"/>
      <c r="I651" s="84">
        <f t="shared" ref="I651:I676" si="32">G651*$H$650</f>
        <v>112.5</v>
      </c>
    </row>
    <row r="652" ht="14.25" spans="1:9">
      <c r="A652" s="87"/>
      <c r="B652" s="101" t="s">
        <v>198</v>
      </c>
      <c r="C652" s="102"/>
      <c r="D652" s="103"/>
      <c r="E652" s="84" t="s">
        <v>13</v>
      </c>
      <c r="F652" s="84">
        <v>1.6</v>
      </c>
      <c r="G652" s="85">
        <v>0.4</v>
      </c>
      <c r="H652" s="88"/>
      <c r="I652" s="84">
        <f t="shared" si="32"/>
        <v>20</v>
      </c>
    </row>
    <row r="653" ht="14.25" spans="1:9">
      <c r="A653" s="87"/>
      <c r="B653" s="101" t="s">
        <v>97</v>
      </c>
      <c r="C653" s="102"/>
      <c r="D653" s="103"/>
      <c r="E653" s="84" t="s">
        <v>13</v>
      </c>
      <c r="F653" s="84">
        <v>1.63</v>
      </c>
      <c r="G653" s="85">
        <v>0.4</v>
      </c>
      <c r="H653" s="88"/>
      <c r="I653" s="84">
        <f t="shared" si="32"/>
        <v>20</v>
      </c>
    </row>
    <row r="654" ht="14.25" spans="1:9">
      <c r="A654" s="87"/>
      <c r="B654" s="101" t="s">
        <v>98</v>
      </c>
      <c r="C654" s="102"/>
      <c r="D654" s="103"/>
      <c r="E654" s="84" t="s">
        <v>13</v>
      </c>
      <c r="F654" s="84">
        <v>1.65</v>
      </c>
      <c r="G654" s="85">
        <v>0.4</v>
      </c>
      <c r="H654" s="88"/>
      <c r="I654" s="84">
        <f t="shared" si="32"/>
        <v>20</v>
      </c>
    </row>
    <row r="655" ht="14.25" spans="1:9">
      <c r="A655" s="87"/>
      <c r="B655" s="101" t="s">
        <v>199</v>
      </c>
      <c r="C655" s="102"/>
      <c r="D655" s="103"/>
      <c r="E655" s="84" t="s">
        <v>13</v>
      </c>
      <c r="F655" s="84">
        <v>1.6</v>
      </c>
      <c r="G655" s="85">
        <v>0.1</v>
      </c>
      <c r="H655" s="88"/>
      <c r="I655" s="84">
        <f t="shared" si="32"/>
        <v>5</v>
      </c>
    </row>
    <row r="656" ht="14.25" spans="1:9">
      <c r="A656" s="87"/>
      <c r="B656" s="101" t="s">
        <v>97</v>
      </c>
      <c r="C656" s="102"/>
      <c r="D656" s="103"/>
      <c r="E656" s="84" t="s">
        <v>13</v>
      </c>
      <c r="F656" s="84">
        <v>1.63</v>
      </c>
      <c r="G656" s="85">
        <v>0.1</v>
      </c>
      <c r="H656" s="88"/>
      <c r="I656" s="84">
        <f t="shared" si="32"/>
        <v>5</v>
      </c>
    </row>
    <row r="657" ht="14.25" spans="1:9">
      <c r="A657" s="87"/>
      <c r="B657" s="101" t="s">
        <v>198</v>
      </c>
      <c r="C657" s="102"/>
      <c r="D657" s="103"/>
      <c r="E657" s="84" t="s">
        <v>13</v>
      </c>
      <c r="F657" s="84">
        <v>1.6</v>
      </c>
      <c r="G657" s="85">
        <v>0.98</v>
      </c>
      <c r="H657" s="88"/>
      <c r="I657" s="84">
        <f t="shared" si="32"/>
        <v>49</v>
      </c>
    </row>
    <row r="658" ht="14.25" spans="1:9">
      <c r="A658" s="87"/>
      <c r="B658" s="101" t="s">
        <v>124</v>
      </c>
      <c r="C658" s="102"/>
      <c r="D658" s="103"/>
      <c r="E658" s="84" t="s">
        <v>13</v>
      </c>
      <c r="F658" s="84">
        <v>1.63</v>
      </c>
      <c r="G658" s="85">
        <v>0.98</v>
      </c>
      <c r="H658" s="88"/>
      <c r="I658" s="84">
        <f t="shared" si="32"/>
        <v>49</v>
      </c>
    </row>
    <row r="659" ht="14.25" spans="1:9">
      <c r="A659" s="87"/>
      <c r="B659" s="101" t="s">
        <v>100</v>
      </c>
      <c r="C659" s="102"/>
      <c r="D659" s="103"/>
      <c r="E659" s="84" t="s">
        <v>13</v>
      </c>
      <c r="F659" s="84">
        <v>1.65</v>
      </c>
      <c r="G659" s="85">
        <v>0.98</v>
      </c>
      <c r="H659" s="88"/>
      <c r="I659" s="84">
        <f t="shared" si="32"/>
        <v>49</v>
      </c>
    </row>
    <row r="660" ht="14.25" spans="1:9">
      <c r="A660" s="87"/>
      <c r="B660" s="101" t="s">
        <v>101</v>
      </c>
      <c r="C660" s="102"/>
      <c r="D660" s="103"/>
      <c r="E660" s="84" t="s">
        <v>13</v>
      </c>
      <c r="F660" s="84">
        <v>1.8</v>
      </c>
      <c r="G660" s="85">
        <v>1.8</v>
      </c>
      <c r="H660" s="88"/>
      <c r="I660" s="84">
        <f t="shared" si="32"/>
        <v>90</v>
      </c>
    </row>
    <row r="661" ht="14.25" spans="1:9">
      <c r="A661" s="87"/>
      <c r="B661" s="104" t="s">
        <v>174</v>
      </c>
      <c r="C661" s="105"/>
      <c r="D661" s="106"/>
      <c r="E661" s="84" t="s">
        <v>13</v>
      </c>
      <c r="F661" s="84">
        <v>1.83</v>
      </c>
      <c r="G661" s="85">
        <v>1.8</v>
      </c>
      <c r="H661" s="88"/>
      <c r="I661" s="84">
        <f t="shared" si="32"/>
        <v>90</v>
      </c>
    </row>
    <row r="662" ht="14.25" spans="1:9">
      <c r="A662" s="87"/>
      <c r="B662" s="101" t="s">
        <v>103</v>
      </c>
      <c r="C662" s="102"/>
      <c r="D662" s="103"/>
      <c r="E662" s="84" t="s">
        <v>13</v>
      </c>
      <c r="F662" s="84">
        <v>1.15</v>
      </c>
      <c r="G662" s="85">
        <v>1.9</v>
      </c>
      <c r="H662" s="88"/>
      <c r="I662" s="84">
        <f t="shared" si="32"/>
        <v>95</v>
      </c>
    </row>
    <row r="663" ht="14.25" spans="1:9">
      <c r="A663" s="87"/>
      <c r="B663" s="101" t="s">
        <v>176</v>
      </c>
      <c r="C663" s="102"/>
      <c r="D663" s="103"/>
      <c r="E663" s="84" t="s">
        <v>13</v>
      </c>
      <c r="F663" s="84">
        <v>1.7</v>
      </c>
      <c r="G663" s="85">
        <v>0.93</v>
      </c>
      <c r="H663" s="88"/>
      <c r="I663" s="84">
        <f t="shared" si="32"/>
        <v>46.5</v>
      </c>
    </row>
    <row r="664" ht="14.25" spans="1:9">
      <c r="A664" s="87"/>
      <c r="B664" s="101" t="s">
        <v>104</v>
      </c>
      <c r="C664" s="102"/>
      <c r="D664" s="103"/>
      <c r="E664" s="84" t="s">
        <v>13</v>
      </c>
      <c r="F664" s="84">
        <v>1.7</v>
      </c>
      <c r="G664" s="85">
        <v>0.52</v>
      </c>
      <c r="H664" s="88"/>
      <c r="I664" s="84">
        <f t="shared" si="32"/>
        <v>26</v>
      </c>
    </row>
    <row r="665" ht="14.25" spans="1:9">
      <c r="A665" s="87"/>
      <c r="B665" s="101" t="s">
        <v>177</v>
      </c>
      <c r="C665" s="102"/>
      <c r="D665" s="103"/>
      <c r="E665" s="84" t="s">
        <v>13</v>
      </c>
      <c r="F665" s="84">
        <v>1.5</v>
      </c>
      <c r="G665" s="85">
        <v>0.26</v>
      </c>
      <c r="H665" s="88"/>
      <c r="I665" s="84">
        <f t="shared" si="32"/>
        <v>13</v>
      </c>
    </row>
    <row r="666" ht="37" customHeight="1" spans="1:9">
      <c r="A666" s="87"/>
      <c r="B666" s="117" t="s">
        <v>200</v>
      </c>
      <c r="C666" s="118"/>
      <c r="D666" s="119"/>
      <c r="E666" s="84" t="s">
        <v>13</v>
      </c>
      <c r="F666" s="84" t="s">
        <v>54</v>
      </c>
      <c r="G666" s="85">
        <v>8.8</v>
      </c>
      <c r="H666" s="88"/>
      <c r="I666" s="84">
        <f t="shared" si="32"/>
        <v>440</v>
      </c>
    </row>
    <row r="667" ht="14.25" spans="1:9">
      <c r="A667" s="87"/>
      <c r="B667" s="104" t="s">
        <v>107</v>
      </c>
      <c r="C667" s="105"/>
      <c r="D667" s="106"/>
      <c r="E667" s="84" t="s">
        <v>13</v>
      </c>
      <c r="F667" s="84" t="s">
        <v>54</v>
      </c>
      <c r="G667" s="85">
        <v>8.8</v>
      </c>
      <c r="H667" s="88"/>
      <c r="I667" s="84">
        <f t="shared" si="32"/>
        <v>440</v>
      </c>
    </row>
    <row r="668" ht="33" customHeight="1" spans="1:9">
      <c r="A668" s="87"/>
      <c r="B668" s="117" t="s">
        <v>108</v>
      </c>
      <c r="C668" s="118"/>
      <c r="D668" s="118"/>
      <c r="E668" s="84" t="s">
        <v>13</v>
      </c>
      <c r="F668" s="84" t="s">
        <v>109</v>
      </c>
      <c r="G668" s="85">
        <v>31</v>
      </c>
      <c r="H668" s="88"/>
      <c r="I668" s="84">
        <f t="shared" si="32"/>
        <v>1550</v>
      </c>
    </row>
    <row r="669" ht="14.25" spans="1:9">
      <c r="A669" s="87"/>
      <c r="B669" s="101" t="s">
        <v>110</v>
      </c>
      <c r="C669" s="102"/>
      <c r="D669" s="102"/>
      <c r="E669" s="84" t="s">
        <v>60</v>
      </c>
      <c r="F669" s="84" t="s">
        <v>54</v>
      </c>
      <c r="G669" s="85">
        <v>6</v>
      </c>
      <c r="H669" s="88"/>
      <c r="I669" s="84">
        <f t="shared" si="32"/>
        <v>300</v>
      </c>
    </row>
    <row r="670" ht="36" customHeight="1" spans="1:9">
      <c r="A670" s="87"/>
      <c r="B670" s="117" t="s">
        <v>111</v>
      </c>
      <c r="C670" s="118"/>
      <c r="D670" s="118"/>
      <c r="E670" s="84" t="s">
        <v>53</v>
      </c>
      <c r="F670" s="84" t="s">
        <v>54</v>
      </c>
      <c r="G670" s="85">
        <v>1</v>
      </c>
      <c r="H670" s="88"/>
      <c r="I670" s="84">
        <f t="shared" si="32"/>
        <v>50</v>
      </c>
    </row>
    <row r="671" ht="14.25" spans="1:9">
      <c r="A671" s="87"/>
      <c r="B671" s="101" t="s">
        <v>112</v>
      </c>
      <c r="C671" s="102"/>
      <c r="D671" s="102"/>
      <c r="E671" s="84" t="s">
        <v>113</v>
      </c>
      <c r="F671" s="84" t="s">
        <v>54</v>
      </c>
      <c r="G671" s="85">
        <v>2</v>
      </c>
      <c r="H671" s="88"/>
      <c r="I671" s="84">
        <f t="shared" si="32"/>
        <v>100</v>
      </c>
    </row>
    <row r="672" ht="14.25" spans="1:9">
      <c r="A672" s="87"/>
      <c r="B672" s="101" t="s">
        <v>114</v>
      </c>
      <c r="C672" s="102"/>
      <c r="D672" s="102"/>
      <c r="E672" s="84" t="s">
        <v>13</v>
      </c>
      <c r="F672" s="84" t="s">
        <v>54</v>
      </c>
      <c r="G672" s="85">
        <v>1</v>
      </c>
      <c r="H672" s="88"/>
      <c r="I672" s="84">
        <f t="shared" si="32"/>
        <v>50</v>
      </c>
    </row>
    <row r="673" ht="14.25" spans="1:9">
      <c r="A673" s="87"/>
      <c r="B673" s="101" t="s">
        <v>115</v>
      </c>
      <c r="C673" s="102"/>
      <c r="D673" s="102"/>
      <c r="E673" s="84" t="s">
        <v>19</v>
      </c>
      <c r="F673" s="84" t="s">
        <v>54</v>
      </c>
      <c r="G673" s="85">
        <v>4</v>
      </c>
      <c r="H673" s="88"/>
      <c r="I673" s="84">
        <f t="shared" si="32"/>
        <v>200</v>
      </c>
    </row>
    <row r="674" ht="14.25" spans="1:9">
      <c r="A674" s="87"/>
      <c r="B674" s="101" t="s">
        <v>116</v>
      </c>
      <c r="C674" s="102"/>
      <c r="D674" s="102"/>
      <c r="E674" s="84" t="s">
        <v>13</v>
      </c>
      <c r="F674" s="84" t="s">
        <v>117</v>
      </c>
      <c r="G674" s="85">
        <v>9</v>
      </c>
      <c r="H674" s="88"/>
      <c r="I674" s="84">
        <f t="shared" si="32"/>
        <v>450</v>
      </c>
    </row>
    <row r="675" ht="14.25" spans="1:9">
      <c r="A675" s="87"/>
      <c r="B675" s="101" t="s">
        <v>118</v>
      </c>
      <c r="C675" s="102"/>
      <c r="D675" s="102"/>
      <c r="E675" s="84" t="s">
        <v>13</v>
      </c>
      <c r="F675" s="84" t="s">
        <v>119</v>
      </c>
      <c r="G675" s="85">
        <v>1</v>
      </c>
      <c r="H675" s="88"/>
      <c r="I675" s="84">
        <f t="shared" si="32"/>
        <v>50</v>
      </c>
    </row>
    <row r="676" ht="30" customHeight="1" spans="1:9">
      <c r="A676" s="87"/>
      <c r="B676" s="110" t="s">
        <v>48</v>
      </c>
      <c r="C676" s="111"/>
      <c r="D676" s="111"/>
      <c r="E676" s="84" t="s">
        <v>49</v>
      </c>
      <c r="F676" s="84" t="s">
        <v>69</v>
      </c>
      <c r="G676" s="85">
        <v>2</v>
      </c>
      <c r="H676" s="88"/>
      <c r="I676" s="84">
        <f t="shared" si="32"/>
        <v>100</v>
      </c>
    </row>
    <row r="677" ht="14.25" spans="1:9">
      <c r="A677" s="92"/>
      <c r="B677" s="104" t="s">
        <v>32</v>
      </c>
      <c r="C677" s="105"/>
      <c r="D677" s="106"/>
      <c r="E677" s="84"/>
      <c r="F677" s="84"/>
      <c r="G677" s="85"/>
      <c r="H677" s="93"/>
      <c r="I677" s="84"/>
    </row>
  </sheetData>
  <mergeCells count="743">
    <mergeCell ref="A1:I1"/>
    <mergeCell ref="A2:I2"/>
    <mergeCell ref="A3:I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A5:A20"/>
    <mergeCell ref="A21:A37"/>
    <mergeCell ref="A38:A54"/>
    <mergeCell ref="A55:A72"/>
    <mergeCell ref="A73:A90"/>
    <mergeCell ref="A91:A108"/>
    <mergeCell ref="A109:A117"/>
    <mergeCell ref="A118:A126"/>
    <mergeCell ref="A127:A135"/>
    <mergeCell ref="A136:A160"/>
    <mergeCell ref="A161:A187"/>
    <mergeCell ref="A188:A214"/>
    <mergeCell ref="A215:A241"/>
    <mergeCell ref="A242:A268"/>
    <mergeCell ref="A269:A287"/>
    <mergeCell ref="A288:A306"/>
    <mergeCell ref="A307:A325"/>
    <mergeCell ref="A326:A341"/>
    <mergeCell ref="A342:A357"/>
    <mergeCell ref="A358:A373"/>
    <mergeCell ref="A374:A386"/>
    <mergeCell ref="A387:A402"/>
    <mergeCell ref="A403:A418"/>
    <mergeCell ref="A419:A434"/>
    <mergeCell ref="A435:A450"/>
    <mergeCell ref="A451:A480"/>
    <mergeCell ref="A481:A510"/>
    <mergeCell ref="A511:A540"/>
    <mergeCell ref="A541:A568"/>
    <mergeCell ref="A569:A596"/>
    <mergeCell ref="A597:A621"/>
    <mergeCell ref="A622:A649"/>
    <mergeCell ref="A650:A677"/>
    <mergeCell ref="H5:H20"/>
    <mergeCell ref="H21:H37"/>
    <mergeCell ref="H38:H54"/>
    <mergeCell ref="H55:H72"/>
    <mergeCell ref="H73:H90"/>
    <mergeCell ref="H91:H108"/>
    <mergeCell ref="H109:H117"/>
    <mergeCell ref="H118:H126"/>
    <mergeCell ref="H127:H135"/>
    <mergeCell ref="H136:H160"/>
    <mergeCell ref="H161:H187"/>
    <mergeCell ref="H188:H214"/>
    <mergeCell ref="H215:H241"/>
    <mergeCell ref="H242:H268"/>
    <mergeCell ref="H269:H287"/>
    <mergeCell ref="H288:H306"/>
    <mergeCell ref="H307:H325"/>
    <mergeCell ref="H326:H341"/>
    <mergeCell ref="H342:H357"/>
    <mergeCell ref="H358:H373"/>
    <mergeCell ref="H374:H386"/>
    <mergeCell ref="H387:H402"/>
    <mergeCell ref="H403:H418"/>
    <mergeCell ref="H419:H434"/>
    <mergeCell ref="H435:H450"/>
    <mergeCell ref="H451:H480"/>
    <mergeCell ref="H481:H510"/>
    <mergeCell ref="H511:H540"/>
    <mergeCell ref="H541:H568"/>
    <mergeCell ref="H569:H596"/>
    <mergeCell ref="H597:H621"/>
    <mergeCell ref="H622:H649"/>
    <mergeCell ref="H650:H677"/>
  </mergeCells>
  <pageMargins left="0.7" right="0.7" top="0.156944444444444" bottom="0.0784722222222222" header="0.3" footer="0.3"/>
  <pageSetup paperSize="9" scale="8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"/>
  <sheetViews>
    <sheetView tabSelected="1" view="pageBreakPreview" zoomScaleNormal="100" topLeftCell="A131" workbookViewId="0">
      <selection activeCell="B168" sqref="B168"/>
    </sheetView>
  </sheetViews>
  <sheetFormatPr defaultColWidth="9" defaultRowHeight="13.5" outlineLevelCol="7"/>
  <cols>
    <col min="2" max="2" width="33.5" customWidth="1"/>
    <col min="3" max="3" width="9.875" customWidth="1"/>
    <col min="5" max="5" width="11.625" customWidth="1"/>
  </cols>
  <sheetData>
    <row r="1" ht="22.5" spans="1:8">
      <c r="A1" s="1" t="s">
        <v>201</v>
      </c>
      <c r="B1" s="2"/>
      <c r="C1" s="2"/>
      <c r="D1" s="2"/>
      <c r="E1" s="2"/>
      <c r="F1" s="2"/>
      <c r="G1" s="2"/>
      <c r="H1" s="2"/>
    </row>
    <row r="2" ht="14.25" spans="1:8">
      <c r="A2" s="3" t="s">
        <v>202</v>
      </c>
      <c r="B2" s="4"/>
      <c r="C2" s="4"/>
      <c r="D2" s="4"/>
      <c r="E2" s="4"/>
      <c r="F2" s="4"/>
      <c r="G2" s="4"/>
      <c r="H2" s="4"/>
    </row>
    <row r="3" ht="14.25" spans="1:8">
      <c r="A3" s="5" t="s">
        <v>2</v>
      </c>
      <c r="B3" s="6"/>
      <c r="C3" s="6"/>
      <c r="D3" s="6"/>
      <c r="E3" s="6"/>
      <c r="F3" s="6"/>
      <c r="G3" s="6"/>
      <c r="H3" s="6"/>
    </row>
    <row r="4" ht="18.75" spans="1:8">
      <c r="A4" s="4"/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ht="20.25" spans="1:8">
      <c r="A5" s="9" t="s">
        <v>203</v>
      </c>
      <c r="B5" s="10" t="s">
        <v>204</v>
      </c>
      <c r="C5" s="11" t="s">
        <v>205</v>
      </c>
      <c r="D5" s="10" t="s">
        <v>13</v>
      </c>
      <c r="E5" s="10">
        <v>1.45</v>
      </c>
      <c r="F5" s="12">
        <v>0.105</v>
      </c>
      <c r="G5" s="8">
        <v>175</v>
      </c>
      <c r="H5" s="10">
        <f>F5*$G$5</f>
        <v>18.375</v>
      </c>
    </row>
    <row r="6" ht="20.25" spans="1:8">
      <c r="A6" s="13"/>
      <c r="B6" s="10" t="s">
        <v>206</v>
      </c>
      <c r="C6" s="11" t="s">
        <v>205</v>
      </c>
      <c r="D6" s="10" t="s">
        <v>13</v>
      </c>
      <c r="E6" s="10">
        <v>1.5</v>
      </c>
      <c r="F6" s="12">
        <v>0.079</v>
      </c>
      <c r="G6" s="8"/>
      <c r="H6" s="10">
        <f>F6*$G$5</f>
        <v>13.825</v>
      </c>
    </row>
    <row r="7" ht="20.25" spans="1:8">
      <c r="A7" s="13"/>
      <c r="B7" s="10" t="s">
        <v>207</v>
      </c>
      <c r="C7" s="14" t="s">
        <v>12</v>
      </c>
      <c r="D7" s="10" t="s">
        <v>13</v>
      </c>
      <c r="E7" s="10">
        <v>1.53</v>
      </c>
      <c r="F7" s="12">
        <v>0.079</v>
      </c>
      <c r="G7" s="8"/>
      <c r="H7" s="10">
        <f>F7*$G$5</f>
        <v>13.825</v>
      </c>
    </row>
    <row r="8" ht="14.25" spans="1:8">
      <c r="A8" s="13"/>
      <c r="B8" s="15" t="s">
        <v>208</v>
      </c>
      <c r="C8" s="16" t="s">
        <v>205</v>
      </c>
      <c r="D8" s="16" t="s">
        <v>19</v>
      </c>
      <c r="E8" s="16" t="s">
        <v>209</v>
      </c>
      <c r="F8" s="17">
        <v>1</v>
      </c>
      <c r="G8" s="8"/>
      <c r="H8" s="10">
        <f>F8*$G$5</f>
        <v>175</v>
      </c>
    </row>
    <row r="9" ht="20.25" spans="1:8">
      <c r="A9" s="13"/>
      <c r="B9" s="10" t="s">
        <v>210</v>
      </c>
      <c r="C9" s="14" t="s">
        <v>18</v>
      </c>
      <c r="D9" s="10" t="s">
        <v>13</v>
      </c>
      <c r="E9" s="18">
        <v>1.5</v>
      </c>
      <c r="F9" s="19">
        <v>0.06</v>
      </c>
      <c r="G9" s="8"/>
      <c r="H9" s="10">
        <f>F9*$G$5</f>
        <v>10.5</v>
      </c>
    </row>
    <row r="10" ht="14.25" spans="1:8">
      <c r="A10" s="20"/>
      <c r="B10" s="8" t="s">
        <v>32</v>
      </c>
      <c r="C10" s="8"/>
      <c r="D10" s="8"/>
      <c r="E10" s="8"/>
      <c r="F10" s="21"/>
      <c r="G10" s="8"/>
      <c r="H10" s="8"/>
    </row>
    <row r="11" ht="20.25" spans="1:8">
      <c r="A11" s="9" t="s">
        <v>211</v>
      </c>
      <c r="B11" s="10" t="s">
        <v>204</v>
      </c>
      <c r="C11" s="11" t="s">
        <v>205</v>
      </c>
      <c r="D11" s="10" t="s">
        <v>13</v>
      </c>
      <c r="E11" s="10">
        <v>1.45</v>
      </c>
      <c r="F11" s="12">
        <v>0.105</v>
      </c>
      <c r="G11" s="22">
        <v>300</v>
      </c>
      <c r="H11" s="10">
        <f>F11*$G$11</f>
        <v>31.5</v>
      </c>
    </row>
    <row r="12" ht="20.25" spans="1:8">
      <c r="A12" s="13"/>
      <c r="B12" s="23" t="s">
        <v>206</v>
      </c>
      <c r="C12" s="11" t="s">
        <v>205</v>
      </c>
      <c r="D12" s="10" t="s">
        <v>13</v>
      </c>
      <c r="E12" s="10">
        <v>1.5</v>
      </c>
      <c r="F12" s="12">
        <v>0.089</v>
      </c>
      <c r="G12" s="24"/>
      <c r="H12" s="10">
        <f>F12*$G$11</f>
        <v>26.7</v>
      </c>
    </row>
    <row r="13" ht="20.25" spans="1:8">
      <c r="A13" s="13"/>
      <c r="B13" s="10" t="s">
        <v>207</v>
      </c>
      <c r="C13" s="14" t="s">
        <v>12</v>
      </c>
      <c r="D13" s="10" t="s">
        <v>13</v>
      </c>
      <c r="E13" s="10">
        <v>1.53</v>
      </c>
      <c r="F13" s="12">
        <v>0.089</v>
      </c>
      <c r="G13" s="24"/>
      <c r="H13" s="10">
        <f>F13*$G$11</f>
        <v>26.7</v>
      </c>
    </row>
    <row r="14" ht="14.25" spans="1:8">
      <c r="A14" s="13"/>
      <c r="B14" s="15" t="s">
        <v>208</v>
      </c>
      <c r="C14" s="16" t="s">
        <v>205</v>
      </c>
      <c r="D14" s="16" t="s">
        <v>19</v>
      </c>
      <c r="E14" s="16" t="s">
        <v>209</v>
      </c>
      <c r="F14" s="17">
        <v>1</v>
      </c>
      <c r="G14" s="24"/>
      <c r="H14" s="10">
        <f>F14*$G$11</f>
        <v>300</v>
      </c>
    </row>
    <row r="15" ht="20.25" spans="1:8">
      <c r="A15" s="13"/>
      <c r="B15" s="10" t="s">
        <v>210</v>
      </c>
      <c r="C15" s="14" t="s">
        <v>18</v>
      </c>
      <c r="D15" s="10" t="s">
        <v>13</v>
      </c>
      <c r="E15" s="18">
        <v>1.5</v>
      </c>
      <c r="F15" s="12">
        <v>0.066</v>
      </c>
      <c r="G15" s="24"/>
      <c r="H15" s="10">
        <f>F15*$G$11</f>
        <v>19.8</v>
      </c>
    </row>
    <row r="16" ht="14.25" spans="1:8">
      <c r="A16" s="20"/>
      <c r="B16" s="8" t="s">
        <v>32</v>
      </c>
      <c r="C16" s="8"/>
      <c r="D16" s="8"/>
      <c r="E16" s="8"/>
      <c r="F16" s="21"/>
      <c r="G16" s="25"/>
      <c r="H16" s="8"/>
    </row>
    <row r="17" ht="14.25" spans="1:8">
      <c r="A17" s="26" t="s">
        <v>212</v>
      </c>
      <c r="B17" s="27" t="s">
        <v>213</v>
      </c>
      <c r="C17" s="10" t="s">
        <v>205</v>
      </c>
      <c r="D17" s="10" t="s">
        <v>13</v>
      </c>
      <c r="E17" s="10">
        <v>1.42</v>
      </c>
      <c r="F17" s="12">
        <v>0.018</v>
      </c>
      <c r="G17" s="8">
        <v>275</v>
      </c>
      <c r="H17" s="10">
        <f>F17*$G$17</f>
        <v>4.95</v>
      </c>
    </row>
    <row r="18" ht="14.25" spans="1:8">
      <c r="A18" s="28"/>
      <c r="B18" s="10" t="s">
        <v>204</v>
      </c>
      <c r="C18" s="10" t="s">
        <v>205</v>
      </c>
      <c r="D18" s="10" t="s">
        <v>13</v>
      </c>
      <c r="E18" s="10">
        <v>1.45</v>
      </c>
      <c r="F18" s="12">
        <v>0.048</v>
      </c>
      <c r="G18" s="8"/>
      <c r="H18" s="10">
        <f t="shared" ref="H18:H24" si="0">F18*$G$17</f>
        <v>13.2</v>
      </c>
    </row>
    <row r="19" ht="20.25" spans="1:8">
      <c r="A19" s="28"/>
      <c r="B19" s="23" t="s">
        <v>214</v>
      </c>
      <c r="C19" s="29" t="s">
        <v>12</v>
      </c>
      <c r="D19" s="10" t="s">
        <v>13</v>
      </c>
      <c r="E19" s="10" t="s">
        <v>54</v>
      </c>
      <c r="F19" s="30">
        <v>1.36</v>
      </c>
      <c r="G19" s="8"/>
      <c r="H19" s="10">
        <f t="shared" si="0"/>
        <v>374</v>
      </c>
    </row>
    <row r="20" ht="93" customHeight="1" spans="1:8">
      <c r="A20" s="28"/>
      <c r="B20" s="31" t="s">
        <v>215</v>
      </c>
      <c r="C20" s="11" t="s">
        <v>12</v>
      </c>
      <c r="D20" s="10" t="s">
        <v>13</v>
      </c>
      <c r="E20" s="10">
        <v>1.8</v>
      </c>
      <c r="F20" s="32">
        <v>0.051</v>
      </c>
      <c r="G20" s="8"/>
      <c r="H20" s="10">
        <f t="shared" si="0"/>
        <v>14.025</v>
      </c>
    </row>
    <row r="21" ht="14.25" spans="1:8">
      <c r="A21" s="28"/>
      <c r="B21" s="33" t="s">
        <v>216</v>
      </c>
      <c r="C21" s="23" t="s">
        <v>12</v>
      </c>
      <c r="D21" s="10" t="s">
        <v>13</v>
      </c>
      <c r="E21" s="10">
        <v>1.83</v>
      </c>
      <c r="F21" s="32">
        <v>0.051</v>
      </c>
      <c r="G21" s="8"/>
      <c r="H21" s="10">
        <f t="shared" si="0"/>
        <v>14.025</v>
      </c>
    </row>
    <row r="22" ht="20.25" spans="1:8">
      <c r="A22" s="28"/>
      <c r="B22" s="34" t="s">
        <v>217</v>
      </c>
      <c r="C22" s="35" t="s">
        <v>205</v>
      </c>
      <c r="D22" s="10" t="s">
        <v>218</v>
      </c>
      <c r="E22" s="10" t="s">
        <v>219</v>
      </c>
      <c r="F22" s="36">
        <v>2</v>
      </c>
      <c r="G22" s="8"/>
      <c r="H22" s="10">
        <f t="shared" si="0"/>
        <v>550</v>
      </c>
    </row>
    <row r="23" ht="14.25" spans="1:8">
      <c r="A23" s="28"/>
      <c r="B23" s="37" t="s">
        <v>208</v>
      </c>
      <c r="C23" s="8" t="s">
        <v>205</v>
      </c>
      <c r="D23" s="8" t="s">
        <v>19</v>
      </c>
      <c r="E23" s="8" t="s">
        <v>209</v>
      </c>
      <c r="F23" s="38">
        <v>1</v>
      </c>
      <c r="G23" s="8"/>
      <c r="H23" s="10">
        <f t="shared" si="0"/>
        <v>275</v>
      </c>
    </row>
    <row r="24" ht="14.25" spans="1:8">
      <c r="A24" s="28"/>
      <c r="B24" s="8" t="s">
        <v>220</v>
      </c>
      <c r="C24" s="8" t="s">
        <v>205</v>
      </c>
      <c r="D24" s="8" t="s">
        <v>13</v>
      </c>
      <c r="E24" s="8">
        <v>1.5</v>
      </c>
      <c r="F24" s="21">
        <v>0.06</v>
      </c>
      <c r="G24" s="8"/>
      <c r="H24" s="10">
        <f t="shared" si="0"/>
        <v>16.5</v>
      </c>
    </row>
    <row r="25" ht="14.25" spans="1:8">
      <c r="A25" s="39"/>
      <c r="B25" s="8" t="s">
        <v>32</v>
      </c>
      <c r="C25" s="8"/>
      <c r="D25" s="8"/>
      <c r="E25" s="8"/>
      <c r="F25" s="21"/>
      <c r="G25" s="8"/>
      <c r="H25" s="8"/>
    </row>
    <row r="26" ht="14.25" spans="1:8">
      <c r="A26" s="26" t="s">
        <v>221</v>
      </c>
      <c r="B26" s="27" t="s">
        <v>213</v>
      </c>
      <c r="C26" s="10" t="s">
        <v>205</v>
      </c>
      <c r="D26" s="10" t="s">
        <v>13</v>
      </c>
      <c r="E26" s="10">
        <v>1.42</v>
      </c>
      <c r="F26" s="12">
        <v>0.018</v>
      </c>
      <c r="G26" s="8">
        <v>100</v>
      </c>
      <c r="H26" s="10">
        <f>F26*$G$26</f>
        <v>1.8</v>
      </c>
    </row>
    <row r="27" ht="14.25" spans="1:8">
      <c r="A27" s="28"/>
      <c r="B27" s="10" t="s">
        <v>204</v>
      </c>
      <c r="C27" s="10" t="s">
        <v>205</v>
      </c>
      <c r="D27" s="10" t="s">
        <v>13</v>
      </c>
      <c r="E27" s="10">
        <v>1.45</v>
      </c>
      <c r="F27" s="12">
        <v>0.048</v>
      </c>
      <c r="G27" s="8"/>
      <c r="H27" s="10">
        <f t="shared" ref="H27:H33" si="1">F27*$G$26</f>
        <v>4.8</v>
      </c>
    </row>
    <row r="28" ht="20.25" spans="1:8">
      <c r="A28" s="28"/>
      <c r="B28" s="23" t="s">
        <v>214</v>
      </c>
      <c r="C28" s="29" t="s">
        <v>222</v>
      </c>
      <c r="D28" s="10" t="s">
        <v>13</v>
      </c>
      <c r="E28" s="10" t="s">
        <v>54</v>
      </c>
      <c r="F28" s="30">
        <v>1.36</v>
      </c>
      <c r="G28" s="8"/>
      <c r="H28" s="10">
        <f t="shared" si="1"/>
        <v>136</v>
      </c>
    </row>
    <row r="29" ht="96" customHeight="1" spans="1:8">
      <c r="A29" s="28"/>
      <c r="B29" s="31" t="s">
        <v>215</v>
      </c>
      <c r="C29" s="11" t="s">
        <v>222</v>
      </c>
      <c r="D29" s="10" t="s">
        <v>13</v>
      </c>
      <c r="E29" s="10">
        <v>1.8</v>
      </c>
      <c r="F29" s="32">
        <v>0.051</v>
      </c>
      <c r="G29" s="8"/>
      <c r="H29" s="10">
        <f t="shared" si="1"/>
        <v>5.1</v>
      </c>
    </row>
    <row r="30" ht="14.25" spans="1:8">
      <c r="A30" s="28"/>
      <c r="B30" s="33" t="s">
        <v>216</v>
      </c>
      <c r="C30" s="23" t="s">
        <v>12</v>
      </c>
      <c r="D30" s="10" t="s">
        <v>13</v>
      </c>
      <c r="E30" s="10">
        <v>1.83</v>
      </c>
      <c r="F30" s="32">
        <v>0.051</v>
      </c>
      <c r="G30" s="8"/>
      <c r="H30" s="10">
        <f t="shared" si="1"/>
        <v>5.1</v>
      </c>
    </row>
    <row r="31" ht="20.25" spans="1:8">
      <c r="A31" s="28"/>
      <c r="B31" s="34" t="s">
        <v>217</v>
      </c>
      <c r="C31" s="35" t="s">
        <v>205</v>
      </c>
      <c r="D31" s="10" t="s">
        <v>218</v>
      </c>
      <c r="E31" s="10" t="s">
        <v>219</v>
      </c>
      <c r="F31" s="36">
        <v>2</v>
      </c>
      <c r="G31" s="8"/>
      <c r="H31" s="10">
        <f t="shared" si="1"/>
        <v>200</v>
      </c>
    </row>
    <row r="32" ht="14.25" spans="1:8">
      <c r="A32" s="28"/>
      <c r="B32" s="37" t="s">
        <v>208</v>
      </c>
      <c r="C32" s="8" t="s">
        <v>205</v>
      </c>
      <c r="D32" s="8" t="s">
        <v>19</v>
      </c>
      <c r="E32" s="8" t="s">
        <v>209</v>
      </c>
      <c r="F32" s="38">
        <v>1</v>
      </c>
      <c r="G32" s="8"/>
      <c r="H32" s="10">
        <f t="shared" si="1"/>
        <v>100</v>
      </c>
    </row>
    <row r="33" ht="14.25" spans="1:8">
      <c r="A33" s="28"/>
      <c r="B33" s="8" t="s">
        <v>220</v>
      </c>
      <c r="C33" s="8" t="s">
        <v>205</v>
      </c>
      <c r="D33" s="8" t="s">
        <v>13</v>
      </c>
      <c r="E33" s="8">
        <v>1.5</v>
      </c>
      <c r="F33" s="21">
        <v>0.06</v>
      </c>
      <c r="G33" s="8"/>
      <c r="H33" s="10">
        <f t="shared" si="1"/>
        <v>6</v>
      </c>
    </row>
    <row r="34" ht="14.25" spans="1:8">
      <c r="A34" s="39"/>
      <c r="B34" s="8" t="s">
        <v>32</v>
      </c>
      <c r="C34" s="8"/>
      <c r="D34" s="8"/>
      <c r="E34" s="8"/>
      <c r="F34" s="21"/>
      <c r="G34" s="8"/>
      <c r="H34" s="8"/>
    </row>
    <row r="35" ht="14.25" spans="1:8">
      <c r="A35" s="26" t="s">
        <v>223</v>
      </c>
      <c r="B35" s="27" t="s">
        <v>213</v>
      </c>
      <c r="C35" s="10" t="s">
        <v>205</v>
      </c>
      <c r="D35" s="10" t="s">
        <v>13</v>
      </c>
      <c r="E35" s="10">
        <v>1.42</v>
      </c>
      <c r="F35" s="12">
        <v>0.018</v>
      </c>
      <c r="G35" s="8">
        <v>200</v>
      </c>
      <c r="H35" s="10">
        <f>F35*$G$35</f>
        <v>3.6</v>
      </c>
    </row>
    <row r="36" ht="14.25" spans="1:8">
      <c r="A36" s="28"/>
      <c r="B36" s="10" t="s">
        <v>204</v>
      </c>
      <c r="C36" s="10" t="s">
        <v>205</v>
      </c>
      <c r="D36" s="10" t="s">
        <v>13</v>
      </c>
      <c r="E36" s="10">
        <v>1.45</v>
      </c>
      <c r="F36" s="12">
        <v>0.048</v>
      </c>
      <c r="G36" s="8"/>
      <c r="H36" s="10">
        <f t="shared" ref="H36:H42" si="2">F36*$G$35</f>
        <v>9.6</v>
      </c>
    </row>
    <row r="37" ht="20.25" spans="1:8">
      <c r="A37" s="28"/>
      <c r="B37" s="23" t="s">
        <v>214</v>
      </c>
      <c r="C37" s="29" t="s">
        <v>18</v>
      </c>
      <c r="D37" s="10" t="s">
        <v>13</v>
      </c>
      <c r="E37" s="10" t="s">
        <v>54</v>
      </c>
      <c r="F37" s="30">
        <v>1.36</v>
      </c>
      <c r="G37" s="8"/>
      <c r="H37" s="10">
        <f t="shared" si="2"/>
        <v>272</v>
      </c>
    </row>
    <row r="38" ht="74" customHeight="1" spans="1:8">
      <c r="A38" s="28"/>
      <c r="B38" s="31" t="s">
        <v>215</v>
      </c>
      <c r="C38" s="11" t="s">
        <v>18</v>
      </c>
      <c r="D38" s="10" t="s">
        <v>13</v>
      </c>
      <c r="E38" s="10">
        <v>1.8</v>
      </c>
      <c r="F38" s="32">
        <v>0.051</v>
      </c>
      <c r="G38" s="8"/>
      <c r="H38" s="10">
        <f t="shared" si="2"/>
        <v>10.2</v>
      </c>
    </row>
    <row r="39" ht="14.25" spans="1:8">
      <c r="A39" s="28"/>
      <c r="B39" s="33" t="s">
        <v>216</v>
      </c>
      <c r="C39" s="23" t="s">
        <v>12</v>
      </c>
      <c r="D39" s="10" t="s">
        <v>13</v>
      </c>
      <c r="E39" s="10">
        <v>1.83</v>
      </c>
      <c r="F39" s="32">
        <v>0.051</v>
      </c>
      <c r="G39" s="8"/>
      <c r="H39" s="10">
        <f t="shared" si="2"/>
        <v>10.2</v>
      </c>
    </row>
    <row r="40" ht="20.25" spans="1:8">
      <c r="A40" s="28"/>
      <c r="B40" s="34" t="s">
        <v>217</v>
      </c>
      <c r="C40" s="35" t="s">
        <v>205</v>
      </c>
      <c r="D40" s="10" t="s">
        <v>218</v>
      </c>
      <c r="E40" s="10" t="s">
        <v>219</v>
      </c>
      <c r="F40" s="36">
        <v>2</v>
      </c>
      <c r="G40" s="8"/>
      <c r="H40" s="10">
        <f t="shared" si="2"/>
        <v>400</v>
      </c>
    </row>
    <row r="41" ht="14.25" spans="1:8">
      <c r="A41" s="28"/>
      <c r="B41" s="37" t="s">
        <v>208</v>
      </c>
      <c r="C41" s="8" t="s">
        <v>205</v>
      </c>
      <c r="D41" s="8" t="s">
        <v>19</v>
      </c>
      <c r="E41" s="8" t="s">
        <v>209</v>
      </c>
      <c r="F41" s="38">
        <v>1</v>
      </c>
      <c r="G41" s="8"/>
      <c r="H41" s="10">
        <f t="shared" si="2"/>
        <v>200</v>
      </c>
    </row>
    <row r="42" ht="14.25" spans="1:8">
      <c r="A42" s="28"/>
      <c r="B42" s="8" t="s">
        <v>220</v>
      </c>
      <c r="C42" s="8" t="s">
        <v>205</v>
      </c>
      <c r="D42" s="8" t="s">
        <v>13</v>
      </c>
      <c r="E42" s="8">
        <v>1.5</v>
      </c>
      <c r="F42" s="21">
        <v>0.06</v>
      </c>
      <c r="G42" s="8"/>
      <c r="H42" s="10">
        <f t="shared" si="2"/>
        <v>12</v>
      </c>
    </row>
    <row r="43" ht="14.25" spans="1:8">
      <c r="A43" s="39"/>
      <c r="B43" s="8" t="s">
        <v>32</v>
      </c>
      <c r="C43" s="8"/>
      <c r="D43" s="8"/>
      <c r="E43" s="8"/>
      <c r="F43" s="21"/>
      <c r="G43" s="8"/>
      <c r="H43" s="8"/>
    </row>
    <row r="44" ht="14.25" spans="1:8">
      <c r="A44" s="26" t="s">
        <v>224</v>
      </c>
      <c r="B44" s="27" t="s">
        <v>213</v>
      </c>
      <c r="C44" s="10" t="s">
        <v>205</v>
      </c>
      <c r="D44" s="10" t="s">
        <v>13</v>
      </c>
      <c r="E44" s="10">
        <v>1.42</v>
      </c>
      <c r="F44" s="12">
        <v>0.018</v>
      </c>
      <c r="G44" s="8">
        <v>200</v>
      </c>
      <c r="H44" s="10">
        <f>F44*$G$44</f>
        <v>3.6</v>
      </c>
    </row>
    <row r="45" ht="14.25" spans="1:8">
      <c r="A45" s="28"/>
      <c r="B45" s="10" t="s">
        <v>204</v>
      </c>
      <c r="C45" s="10" t="s">
        <v>205</v>
      </c>
      <c r="D45" s="10" t="s">
        <v>13</v>
      </c>
      <c r="E45" s="10">
        <v>1.45</v>
      </c>
      <c r="F45" s="12">
        <v>0.048</v>
      </c>
      <c r="G45" s="8"/>
      <c r="H45" s="10">
        <f t="shared" ref="H45:H51" si="3">F45*$G$44</f>
        <v>9.6</v>
      </c>
    </row>
    <row r="46" ht="20.25" spans="1:8">
      <c r="A46" s="28"/>
      <c r="B46" s="23" t="s">
        <v>214</v>
      </c>
      <c r="C46" s="29" t="s">
        <v>225</v>
      </c>
      <c r="D46" s="10" t="s">
        <v>13</v>
      </c>
      <c r="E46" s="10" t="s">
        <v>54</v>
      </c>
      <c r="F46" s="30">
        <v>1.36</v>
      </c>
      <c r="G46" s="8"/>
      <c r="H46" s="10">
        <f t="shared" si="3"/>
        <v>272</v>
      </c>
    </row>
    <row r="47" ht="122" customHeight="1" spans="1:8">
      <c r="A47" s="28"/>
      <c r="B47" s="31" t="s">
        <v>215</v>
      </c>
      <c r="C47" s="11" t="s">
        <v>225</v>
      </c>
      <c r="D47" s="10" t="s">
        <v>13</v>
      </c>
      <c r="E47" s="10">
        <v>1.8</v>
      </c>
      <c r="F47" s="32">
        <v>0.051</v>
      </c>
      <c r="G47" s="8"/>
      <c r="H47" s="10">
        <f t="shared" si="3"/>
        <v>10.2</v>
      </c>
    </row>
    <row r="48" ht="14.25" spans="1:8">
      <c r="A48" s="28"/>
      <c r="B48" s="33" t="s">
        <v>216</v>
      </c>
      <c r="C48" s="23" t="s">
        <v>12</v>
      </c>
      <c r="D48" s="10" t="s">
        <v>13</v>
      </c>
      <c r="E48" s="10">
        <v>1.83</v>
      </c>
      <c r="F48" s="32">
        <v>0.051</v>
      </c>
      <c r="G48" s="8"/>
      <c r="H48" s="10">
        <f t="shared" si="3"/>
        <v>10.2</v>
      </c>
    </row>
    <row r="49" ht="20.25" spans="1:8">
      <c r="A49" s="28"/>
      <c r="B49" s="34" t="s">
        <v>217</v>
      </c>
      <c r="C49" s="35" t="s">
        <v>205</v>
      </c>
      <c r="D49" s="10" t="s">
        <v>218</v>
      </c>
      <c r="E49" s="10" t="s">
        <v>219</v>
      </c>
      <c r="F49" s="36">
        <v>2</v>
      </c>
      <c r="G49" s="8"/>
      <c r="H49" s="10">
        <f t="shared" si="3"/>
        <v>400</v>
      </c>
    </row>
    <row r="50" ht="14.25" spans="1:8">
      <c r="A50" s="28"/>
      <c r="B50" s="37" t="s">
        <v>208</v>
      </c>
      <c r="C50" s="8" t="s">
        <v>205</v>
      </c>
      <c r="D50" s="8" t="s">
        <v>19</v>
      </c>
      <c r="E50" s="8" t="s">
        <v>209</v>
      </c>
      <c r="F50" s="38">
        <v>1</v>
      </c>
      <c r="G50" s="8"/>
      <c r="H50" s="10">
        <f t="shared" si="3"/>
        <v>200</v>
      </c>
    </row>
    <row r="51" ht="14.25" spans="1:8">
      <c r="A51" s="28"/>
      <c r="B51" s="8" t="s">
        <v>220</v>
      </c>
      <c r="C51" s="8" t="s">
        <v>205</v>
      </c>
      <c r="D51" s="8" t="s">
        <v>13</v>
      </c>
      <c r="E51" s="8">
        <v>1.5</v>
      </c>
      <c r="F51" s="21">
        <v>0.06</v>
      </c>
      <c r="G51" s="8"/>
      <c r="H51" s="10">
        <f t="shared" si="3"/>
        <v>12</v>
      </c>
    </row>
    <row r="52" ht="14.25" spans="1:8">
      <c r="A52" s="39"/>
      <c r="B52" s="8" t="s">
        <v>32</v>
      </c>
      <c r="C52" s="8"/>
      <c r="D52" s="8"/>
      <c r="E52" s="8"/>
      <c r="F52" s="21"/>
      <c r="G52" s="8"/>
      <c r="H52" s="8"/>
    </row>
    <row r="53" ht="20.25" spans="1:8">
      <c r="A53" s="26" t="s">
        <v>226</v>
      </c>
      <c r="B53" s="27" t="s">
        <v>204</v>
      </c>
      <c r="C53" s="29" t="s">
        <v>205</v>
      </c>
      <c r="D53" s="23" t="s">
        <v>13</v>
      </c>
      <c r="E53" s="23">
        <v>1.45</v>
      </c>
      <c r="F53" s="40">
        <v>0.135</v>
      </c>
      <c r="G53" s="22">
        <v>100</v>
      </c>
      <c r="H53" s="41">
        <f>F53*$G$53</f>
        <v>13.5</v>
      </c>
    </row>
    <row r="54" ht="20.25" spans="1:8">
      <c r="A54" s="28"/>
      <c r="B54" s="27" t="s">
        <v>227</v>
      </c>
      <c r="C54" s="29" t="s">
        <v>205</v>
      </c>
      <c r="D54" s="23" t="s">
        <v>13</v>
      </c>
      <c r="E54" s="10">
        <v>1.5</v>
      </c>
      <c r="F54" s="40">
        <v>0.027</v>
      </c>
      <c r="G54" s="42"/>
      <c r="H54" s="41">
        <f>F54*$G$53</f>
        <v>2.7</v>
      </c>
    </row>
    <row r="55" ht="14.25" spans="1:8">
      <c r="A55" s="28"/>
      <c r="B55" s="43" t="s">
        <v>228</v>
      </c>
      <c r="C55" s="44" t="s">
        <v>12</v>
      </c>
      <c r="D55" s="44" t="s">
        <v>13</v>
      </c>
      <c r="E55" s="10">
        <v>1.53</v>
      </c>
      <c r="F55" s="40">
        <v>0.027</v>
      </c>
      <c r="G55" s="42"/>
      <c r="H55" s="41">
        <f>F55*$G$53</f>
        <v>2.7</v>
      </c>
    </row>
    <row r="56" ht="175" customHeight="1" spans="1:8">
      <c r="A56" s="28"/>
      <c r="B56" s="45" t="s">
        <v>229</v>
      </c>
      <c r="C56" s="46" t="s">
        <v>230</v>
      </c>
      <c r="D56" s="44" t="s">
        <v>113</v>
      </c>
      <c r="E56" s="10" t="s">
        <v>231</v>
      </c>
      <c r="F56" s="47">
        <v>1</v>
      </c>
      <c r="G56" s="42"/>
      <c r="H56" s="41">
        <f>F56*$G$53</f>
        <v>100</v>
      </c>
    </row>
    <row r="57" ht="14.25" spans="1:8">
      <c r="A57" s="28"/>
      <c r="B57" s="37" t="s">
        <v>208</v>
      </c>
      <c r="C57" s="8" t="s">
        <v>205</v>
      </c>
      <c r="D57" s="8" t="s">
        <v>19</v>
      </c>
      <c r="E57" s="8" t="s">
        <v>209</v>
      </c>
      <c r="F57" s="38">
        <v>1</v>
      </c>
      <c r="G57" s="48"/>
      <c r="H57" s="41">
        <f>F57*$G$53</f>
        <v>100</v>
      </c>
    </row>
    <row r="58" ht="14.25" spans="1:8">
      <c r="A58" s="28"/>
      <c r="B58" s="8" t="s">
        <v>220</v>
      </c>
      <c r="C58" s="8" t="s">
        <v>205</v>
      </c>
      <c r="D58" s="8" t="s">
        <v>13</v>
      </c>
      <c r="E58" s="8">
        <v>1.5</v>
      </c>
      <c r="F58" s="21">
        <v>0.06</v>
      </c>
      <c r="G58" s="48"/>
      <c r="H58" s="41">
        <f>F58*$G$53</f>
        <v>6</v>
      </c>
    </row>
    <row r="59" ht="14.25" spans="1:8">
      <c r="A59" s="39"/>
      <c r="B59" s="8" t="s">
        <v>32</v>
      </c>
      <c r="C59" s="8"/>
      <c r="D59" s="8"/>
      <c r="E59" s="8"/>
      <c r="F59" s="38"/>
      <c r="G59" s="25"/>
      <c r="H59" s="8"/>
    </row>
    <row r="60" ht="20.25" spans="1:8">
      <c r="A60" s="26" t="s">
        <v>232</v>
      </c>
      <c r="B60" s="27" t="s">
        <v>204</v>
      </c>
      <c r="C60" s="29" t="s">
        <v>205</v>
      </c>
      <c r="D60" s="23" t="s">
        <v>13</v>
      </c>
      <c r="E60" s="23">
        <v>1.45</v>
      </c>
      <c r="F60" s="40">
        <v>0.135</v>
      </c>
      <c r="G60" s="22">
        <v>100</v>
      </c>
      <c r="H60" s="41">
        <f>F60*$G$60</f>
        <v>13.5</v>
      </c>
    </row>
    <row r="61" ht="20.25" spans="1:8">
      <c r="A61" s="28"/>
      <c r="B61" s="27" t="s">
        <v>227</v>
      </c>
      <c r="C61" s="29" t="s">
        <v>205</v>
      </c>
      <c r="D61" s="23" t="s">
        <v>13</v>
      </c>
      <c r="E61" s="10">
        <v>1.5</v>
      </c>
      <c r="F61" s="40">
        <v>0.027</v>
      </c>
      <c r="G61" s="42"/>
      <c r="H61" s="41">
        <f>F61*$G$60</f>
        <v>2.7</v>
      </c>
    </row>
    <row r="62" ht="14.25" spans="1:8">
      <c r="A62" s="28"/>
      <c r="B62" s="43" t="s">
        <v>228</v>
      </c>
      <c r="C62" s="44" t="s">
        <v>12</v>
      </c>
      <c r="D62" s="44" t="s">
        <v>13</v>
      </c>
      <c r="E62" s="10">
        <v>1.53</v>
      </c>
      <c r="F62" s="40">
        <v>0.027</v>
      </c>
      <c r="G62" s="42"/>
      <c r="H62" s="41">
        <f>F62*$G$60</f>
        <v>2.7</v>
      </c>
    </row>
    <row r="63" ht="204" customHeight="1" spans="1:8">
      <c r="A63" s="28"/>
      <c r="B63" s="45" t="s">
        <v>229</v>
      </c>
      <c r="C63" s="46" t="s">
        <v>233</v>
      </c>
      <c r="D63" s="44" t="s">
        <v>113</v>
      </c>
      <c r="E63" s="10" t="s">
        <v>231</v>
      </c>
      <c r="F63" s="47">
        <v>1</v>
      </c>
      <c r="G63" s="42"/>
      <c r="H63" s="41">
        <f>F63*$G$60</f>
        <v>100</v>
      </c>
    </row>
    <row r="64" ht="14.25" spans="1:8">
      <c r="A64" s="28"/>
      <c r="B64" s="37" t="s">
        <v>208</v>
      </c>
      <c r="C64" s="8" t="s">
        <v>205</v>
      </c>
      <c r="D64" s="8" t="s">
        <v>19</v>
      </c>
      <c r="E64" s="8" t="s">
        <v>209</v>
      </c>
      <c r="F64" s="38">
        <v>1</v>
      </c>
      <c r="G64" s="48"/>
      <c r="H64" s="41">
        <f>F64*$G$60</f>
        <v>100</v>
      </c>
    </row>
    <row r="65" ht="14.25" spans="1:8">
      <c r="A65" s="28"/>
      <c r="B65" s="8" t="s">
        <v>220</v>
      </c>
      <c r="C65" s="8" t="s">
        <v>205</v>
      </c>
      <c r="D65" s="8" t="s">
        <v>13</v>
      </c>
      <c r="E65" s="8">
        <v>1.5</v>
      </c>
      <c r="F65" s="21">
        <v>0.06</v>
      </c>
      <c r="G65" s="48"/>
      <c r="H65" s="41">
        <f>F65*$G$60</f>
        <v>6</v>
      </c>
    </row>
    <row r="66" ht="14.25" spans="1:8">
      <c r="A66" s="39"/>
      <c r="B66" s="8" t="s">
        <v>32</v>
      </c>
      <c r="C66" s="8"/>
      <c r="D66" s="8"/>
      <c r="E66" s="8"/>
      <c r="F66" s="38"/>
      <c r="G66" s="25"/>
      <c r="H66" s="8"/>
    </row>
    <row r="67" ht="20.25" spans="1:8">
      <c r="A67" s="26" t="s">
        <v>234</v>
      </c>
      <c r="B67" s="27" t="s">
        <v>204</v>
      </c>
      <c r="C67" s="29" t="s">
        <v>205</v>
      </c>
      <c r="D67" s="23" t="s">
        <v>13</v>
      </c>
      <c r="E67" s="23">
        <v>1.45</v>
      </c>
      <c r="F67" s="40">
        <v>0.135</v>
      </c>
      <c r="G67" s="22">
        <v>100</v>
      </c>
      <c r="H67" s="41">
        <f>F67*$G$67</f>
        <v>13.5</v>
      </c>
    </row>
    <row r="68" ht="42.75" spans="1:8">
      <c r="A68" s="28"/>
      <c r="B68" s="31" t="s">
        <v>235</v>
      </c>
      <c r="C68" s="29" t="s">
        <v>205</v>
      </c>
      <c r="D68" s="23" t="s">
        <v>13</v>
      </c>
      <c r="E68" s="10">
        <v>1.5</v>
      </c>
      <c r="F68" s="49">
        <v>0.034</v>
      </c>
      <c r="G68" s="42"/>
      <c r="H68" s="41">
        <f>F68*$G$67</f>
        <v>3.4</v>
      </c>
    </row>
    <row r="69" ht="14.25" spans="1:8">
      <c r="A69" s="28"/>
      <c r="B69" s="43" t="s">
        <v>236</v>
      </c>
      <c r="C69" s="44" t="s">
        <v>12</v>
      </c>
      <c r="D69" s="44" t="s">
        <v>13</v>
      </c>
      <c r="E69" s="10">
        <v>1.53</v>
      </c>
      <c r="F69" s="49">
        <v>0.034</v>
      </c>
      <c r="G69" s="42"/>
      <c r="H69" s="41">
        <f>F69*$G$67</f>
        <v>3.4</v>
      </c>
    </row>
    <row r="70" ht="105" customHeight="1" spans="1:8">
      <c r="A70" s="28"/>
      <c r="B70" s="45" t="s">
        <v>237</v>
      </c>
      <c r="C70" s="46" t="s">
        <v>230</v>
      </c>
      <c r="D70" s="44" t="s">
        <v>113</v>
      </c>
      <c r="E70" s="10" t="s">
        <v>231</v>
      </c>
      <c r="F70" s="47">
        <v>1</v>
      </c>
      <c r="G70" s="42"/>
      <c r="H70" s="41">
        <f>F70*$G$67</f>
        <v>100</v>
      </c>
    </row>
    <row r="71" ht="14.25" spans="1:8">
      <c r="A71" s="28"/>
      <c r="B71" s="37" t="s">
        <v>208</v>
      </c>
      <c r="C71" s="8" t="s">
        <v>205</v>
      </c>
      <c r="D71" s="8" t="s">
        <v>19</v>
      </c>
      <c r="E71" s="8" t="s">
        <v>209</v>
      </c>
      <c r="F71" s="38">
        <v>1</v>
      </c>
      <c r="G71" s="48"/>
      <c r="H71" s="41">
        <f>F71*$G$67</f>
        <v>100</v>
      </c>
    </row>
    <row r="72" ht="14.25" spans="1:8">
      <c r="A72" s="28"/>
      <c r="B72" s="8" t="s">
        <v>220</v>
      </c>
      <c r="C72" s="8" t="s">
        <v>205</v>
      </c>
      <c r="D72" s="8" t="s">
        <v>13</v>
      </c>
      <c r="E72" s="8">
        <v>1.5</v>
      </c>
      <c r="F72" s="21">
        <v>0.06</v>
      </c>
      <c r="G72" s="48"/>
      <c r="H72" s="41">
        <f>F72*$G$67</f>
        <v>6</v>
      </c>
    </row>
    <row r="73" ht="14.25" spans="1:8">
      <c r="A73" s="39"/>
      <c r="B73" s="8" t="s">
        <v>32</v>
      </c>
      <c r="C73" s="8"/>
      <c r="D73" s="8"/>
      <c r="E73" s="8"/>
      <c r="F73" s="38"/>
      <c r="G73" s="25"/>
      <c r="H73" s="8"/>
    </row>
    <row r="74" ht="63" customHeight="1" spans="1:8">
      <c r="A74" s="26" t="s">
        <v>238</v>
      </c>
      <c r="B74" s="31" t="s">
        <v>239</v>
      </c>
      <c r="C74" s="29" t="s">
        <v>240</v>
      </c>
      <c r="D74" s="23" t="s">
        <v>13</v>
      </c>
      <c r="E74" s="23">
        <v>1.5</v>
      </c>
      <c r="F74" s="40">
        <v>0.135</v>
      </c>
      <c r="G74" s="22">
        <v>100</v>
      </c>
      <c r="H74" s="41">
        <f>F74*$G$74</f>
        <v>13.5</v>
      </c>
    </row>
    <row r="75" ht="42.75" spans="1:8">
      <c r="A75" s="28"/>
      <c r="B75" s="31" t="s">
        <v>235</v>
      </c>
      <c r="C75" s="29" t="s">
        <v>240</v>
      </c>
      <c r="D75" s="23" t="s">
        <v>13</v>
      </c>
      <c r="E75" s="10">
        <v>1.5</v>
      </c>
      <c r="F75" s="49">
        <v>0.034</v>
      </c>
      <c r="G75" s="42"/>
      <c r="H75" s="41">
        <f>F75*$G$74</f>
        <v>3.4</v>
      </c>
    </row>
    <row r="76" ht="14.25" spans="1:8">
      <c r="A76" s="28"/>
      <c r="B76" s="43" t="s">
        <v>241</v>
      </c>
      <c r="C76" s="44" t="s">
        <v>18</v>
      </c>
      <c r="D76" s="44" t="s">
        <v>13</v>
      </c>
      <c r="E76" s="10">
        <v>1.53</v>
      </c>
      <c r="F76" s="49">
        <v>0.034</v>
      </c>
      <c r="G76" s="42"/>
      <c r="H76" s="41">
        <f>F76*$G$74</f>
        <v>3.4</v>
      </c>
    </row>
    <row r="77" ht="159" customHeight="1" spans="1:8">
      <c r="A77" s="28"/>
      <c r="B77" s="45" t="s">
        <v>237</v>
      </c>
      <c r="C77" s="46" t="s">
        <v>242</v>
      </c>
      <c r="D77" s="44" t="s">
        <v>113</v>
      </c>
      <c r="E77" s="10" t="s">
        <v>231</v>
      </c>
      <c r="F77" s="47">
        <v>1</v>
      </c>
      <c r="G77" s="42"/>
      <c r="H77" s="41">
        <f>F77*$G$74</f>
        <v>100</v>
      </c>
    </row>
    <row r="78" ht="14.25" spans="1:8">
      <c r="A78" s="28"/>
      <c r="B78" s="37" t="s">
        <v>208</v>
      </c>
      <c r="C78" s="8" t="s">
        <v>205</v>
      </c>
      <c r="D78" s="8" t="s">
        <v>19</v>
      </c>
      <c r="E78" s="8" t="s">
        <v>209</v>
      </c>
      <c r="F78" s="38">
        <v>1</v>
      </c>
      <c r="G78" s="48"/>
      <c r="H78" s="41">
        <f>F78*$G$74</f>
        <v>100</v>
      </c>
    </row>
    <row r="79" ht="14.25" spans="1:8">
      <c r="A79" s="28"/>
      <c r="B79" s="8" t="s">
        <v>220</v>
      </c>
      <c r="C79" s="8" t="s">
        <v>205</v>
      </c>
      <c r="D79" s="8" t="s">
        <v>13</v>
      </c>
      <c r="E79" s="8">
        <v>1.5</v>
      </c>
      <c r="F79" s="21">
        <v>0.06</v>
      </c>
      <c r="G79" s="48"/>
      <c r="H79" s="41">
        <f>F79*$G$74</f>
        <v>6</v>
      </c>
    </row>
    <row r="80" ht="14.25" spans="1:8">
      <c r="A80" s="39"/>
      <c r="B80" s="8" t="s">
        <v>32</v>
      </c>
      <c r="C80" s="8"/>
      <c r="D80" s="8"/>
      <c r="E80" s="8"/>
      <c r="F80" s="38"/>
      <c r="G80" s="25"/>
      <c r="H80" s="8"/>
    </row>
    <row r="81" ht="20.25" spans="1:8">
      <c r="A81" s="26" t="s">
        <v>243</v>
      </c>
      <c r="B81" s="23" t="s">
        <v>244</v>
      </c>
      <c r="C81" s="50" t="s">
        <v>225</v>
      </c>
      <c r="D81" s="10" t="s">
        <v>13</v>
      </c>
      <c r="E81" s="10">
        <v>1.45</v>
      </c>
      <c r="F81" s="51">
        <v>0.006</v>
      </c>
      <c r="G81" s="8">
        <v>175</v>
      </c>
      <c r="H81" s="10">
        <f>F81*$G$81</f>
        <v>1.05</v>
      </c>
    </row>
    <row r="82" ht="14.25" spans="1:8">
      <c r="A82" s="28"/>
      <c r="B82" s="23" t="s">
        <v>213</v>
      </c>
      <c r="C82" s="10" t="s">
        <v>205</v>
      </c>
      <c r="D82" s="10" t="s">
        <v>13</v>
      </c>
      <c r="E82" s="10">
        <v>1.48</v>
      </c>
      <c r="F82" s="51">
        <v>0.099</v>
      </c>
      <c r="G82" s="8"/>
      <c r="H82" s="10">
        <f>F82*$G$81</f>
        <v>17.325</v>
      </c>
    </row>
    <row r="83" ht="14.25" spans="1:8">
      <c r="A83" s="28"/>
      <c r="B83" s="27" t="s">
        <v>245</v>
      </c>
      <c r="C83" s="23" t="s">
        <v>205</v>
      </c>
      <c r="D83" s="23" t="s">
        <v>13</v>
      </c>
      <c r="E83" s="10">
        <v>1.48</v>
      </c>
      <c r="F83" s="12">
        <v>0.052</v>
      </c>
      <c r="G83" s="8"/>
      <c r="H83" s="10">
        <f>F83*$G$81</f>
        <v>9.1</v>
      </c>
    </row>
    <row r="84" ht="154" customHeight="1" spans="1:8">
      <c r="A84" s="28"/>
      <c r="B84" s="31" t="s">
        <v>246</v>
      </c>
      <c r="C84" s="8" t="s">
        <v>18</v>
      </c>
      <c r="D84" s="8" t="s">
        <v>19</v>
      </c>
      <c r="E84" s="8" t="s">
        <v>209</v>
      </c>
      <c r="F84" s="38">
        <v>1</v>
      </c>
      <c r="G84" s="8"/>
      <c r="H84" s="10">
        <f>F84*$G$81</f>
        <v>175</v>
      </c>
    </row>
    <row r="85" ht="14.25" spans="1:8">
      <c r="A85" s="39"/>
      <c r="B85" s="37" t="s">
        <v>32</v>
      </c>
      <c r="C85" s="8"/>
      <c r="D85" s="8"/>
      <c r="E85" s="8"/>
      <c r="F85" s="21"/>
      <c r="G85" s="8"/>
      <c r="H85" s="8"/>
    </row>
    <row r="86" ht="20.25" spans="1:8">
      <c r="A86" s="26" t="s">
        <v>247</v>
      </c>
      <c r="B86" s="23" t="s">
        <v>244</v>
      </c>
      <c r="C86" s="50" t="s">
        <v>12</v>
      </c>
      <c r="D86" s="10" t="s">
        <v>13</v>
      </c>
      <c r="E86" s="10">
        <v>1.45</v>
      </c>
      <c r="F86" s="51">
        <v>0.006</v>
      </c>
      <c r="G86" s="8">
        <v>100</v>
      </c>
      <c r="H86" s="10">
        <f>F86*$G$86</f>
        <v>0.6</v>
      </c>
    </row>
    <row r="87" ht="14.25" spans="1:8">
      <c r="A87" s="28"/>
      <c r="B87" s="23" t="s">
        <v>213</v>
      </c>
      <c r="C87" s="10" t="s">
        <v>205</v>
      </c>
      <c r="D87" s="10" t="s">
        <v>13</v>
      </c>
      <c r="E87" s="10">
        <v>1.48</v>
      </c>
      <c r="F87" s="51">
        <v>0.099</v>
      </c>
      <c r="G87" s="8"/>
      <c r="H87" s="10">
        <f>F87*$G$86</f>
        <v>9.9</v>
      </c>
    </row>
    <row r="88" ht="14.25" spans="1:8">
      <c r="A88" s="28"/>
      <c r="B88" s="27" t="s">
        <v>245</v>
      </c>
      <c r="C88" s="23" t="s">
        <v>205</v>
      </c>
      <c r="D88" s="23" t="s">
        <v>13</v>
      </c>
      <c r="E88" s="10">
        <v>1.48</v>
      </c>
      <c r="F88" s="12">
        <v>0.052</v>
      </c>
      <c r="G88" s="8"/>
      <c r="H88" s="10">
        <f>F88*$G$86</f>
        <v>5.2</v>
      </c>
    </row>
    <row r="89" ht="167" customHeight="1" spans="1:8">
      <c r="A89" s="28"/>
      <c r="B89" s="31" t="s">
        <v>246</v>
      </c>
      <c r="C89" s="8" t="s">
        <v>18</v>
      </c>
      <c r="D89" s="8" t="s">
        <v>19</v>
      </c>
      <c r="E89" s="8" t="s">
        <v>209</v>
      </c>
      <c r="F89" s="38">
        <v>1</v>
      </c>
      <c r="G89" s="8"/>
      <c r="H89" s="10">
        <f>F89*$G$86</f>
        <v>100</v>
      </c>
    </row>
    <row r="90" ht="14.25" spans="1:8">
      <c r="A90" s="39"/>
      <c r="B90" s="37" t="s">
        <v>32</v>
      </c>
      <c r="C90" s="8"/>
      <c r="D90" s="8"/>
      <c r="E90" s="8"/>
      <c r="F90" s="21"/>
      <c r="G90" s="8"/>
      <c r="H90" s="8"/>
    </row>
    <row r="91" ht="20.25" spans="1:8">
      <c r="A91" s="26" t="s">
        <v>248</v>
      </c>
      <c r="B91" s="23" t="s">
        <v>244</v>
      </c>
      <c r="C91" s="50" t="s">
        <v>222</v>
      </c>
      <c r="D91" s="10" t="s">
        <v>13</v>
      </c>
      <c r="E91" s="10">
        <v>1.45</v>
      </c>
      <c r="F91" s="51">
        <v>0.006</v>
      </c>
      <c r="G91" s="8">
        <v>100</v>
      </c>
      <c r="H91" s="10">
        <f>F91*$G$91</f>
        <v>0.6</v>
      </c>
    </row>
    <row r="92" ht="14.25" spans="1:8">
      <c r="A92" s="28"/>
      <c r="B92" s="23" t="s">
        <v>213</v>
      </c>
      <c r="C92" s="10" t="s">
        <v>205</v>
      </c>
      <c r="D92" s="10" t="s">
        <v>13</v>
      </c>
      <c r="E92" s="10">
        <v>1.48</v>
      </c>
      <c r="F92" s="51">
        <v>0.099</v>
      </c>
      <c r="G92" s="8"/>
      <c r="H92" s="10">
        <f>F92*$G$91</f>
        <v>9.9</v>
      </c>
    </row>
    <row r="93" ht="14.25" spans="1:8">
      <c r="A93" s="28"/>
      <c r="B93" s="27" t="s">
        <v>245</v>
      </c>
      <c r="C93" s="23" t="s">
        <v>205</v>
      </c>
      <c r="D93" s="23" t="s">
        <v>13</v>
      </c>
      <c r="E93" s="10">
        <v>1.48</v>
      </c>
      <c r="F93" s="12">
        <v>0.052</v>
      </c>
      <c r="G93" s="8"/>
      <c r="H93" s="10">
        <f>F93*$G$91</f>
        <v>5.2</v>
      </c>
    </row>
    <row r="94" ht="156" customHeight="1" spans="1:8">
      <c r="A94" s="28"/>
      <c r="B94" s="31" t="s">
        <v>249</v>
      </c>
      <c r="C94" s="8" t="s">
        <v>18</v>
      </c>
      <c r="D94" s="8" t="s">
        <v>19</v>
      </c>
      <c r="E94" s="8" t="s">
        <v>209</v>
      </c>
      <c r="F94" s="38">
        <v>1</v>
      </c>
      <c r="G94" s="8"/>
      <c r="H94" s="10">
        <f>F94*$G$91</f>
        <v>100</v>
      </c>
    </row>
    <row r="95" ht="14.25" spans="1:8">
      <c r="A95" s="39"/>
      <c r="B95" s="37" t="s">
        <v>32</v>
      </c>
      <c r="C95" s="8"/>
      <c r="D95" s="8"/>
      <c r="E95" s="8"/>
      <c r="F95" s="21"/>
      <c r="G95" s="8"/>
      <c r="H95" s="8"/>
    </row>
    <row r="96" ht="14.25" spans="1:8">
      <c r="A96" s="26" t="s">
        <v>250</v>
      </c>
      <c r="B96" s="27" t="s">
        <v>251</v>
      </c>
      <c r="C96" s="23" t="s">
        <v>205</v>
      </c>
      <c r="D96" s="10" t="s">
        <v>13</v>
      </c>
      <c r="E96" s="10">
        <v>1.48</v>
      </c>
      <c r="F96" s="12">
        <v>0.133</v>
      </c>
      <c r="G96" s="52">
        <v>100</v>
      </c>
      <c r="H96" s="10">
        <f>F96*$G$96</f>
        <v>13.3</v>
      </c>
    </row>
    <row r="97" ht="14.25" spans="1:8">
      <c r="A97" s="28"/>
      <c r="B97" s="53" t="s">
        <v>252</v>
      </c>
      <c r="C97" s="23" t="s">
        <v>205</v>
      </c>
      <c r="D97" s="23" t="s">
        <v>13</v>
      </c>
      <c r="E97" s="41">
        <v>1.51</v>
      </c>
      <c r="F97" s="12">
        <v>0.133</v>
      </c>
      <c r="G97" s="54"/>
      <c r="H97" s="10">
        <f>F97*$G$96</f>
        <v>13.3</v>
      </c>
    </row>
    <row r="98" ht="20.25" spans="1:8">
      <c r="A98" s="28"/>
      <c r="B98" s="23" t="s">
        <v>253</v>
      </c>
      <c r="C98" s="11" t="s">
        <v>225</v>
      </c>
      <c r="D98" s="10" t="s">
        <v>13</v>
      </c>
      <c r="E98" s="10">
        <v>1.38</v>
      </c>
      <c r="F98" s="12">
        <v>0.015</v>
      </c>
      <c r="G98" s="54"/>
      <c r="H98" s="10">
        <f>F98*$G$96</f>
        <v>1.5</v>
      </c>
    </row>
    <row r="99" ht="14.25" spans="1:8">
      <c r="A99" s="28"/>
      <c r="B99" s="23" t="s">
        <v>254</v>
      </c>
      <c r="C99" s="10" t="s">
        <v>205</v>
      </c>
      <c r="D99" s="10" t="s">
        <v>13</v>
      </c>
      <c r="E99" s="10">
        <v>1.4</v>
      </c>
      <c r="F99" s="12">
        <v>0.044</v>
      </c>
      <c r="G99" s="54"/>
      <c r="H99" s="10">
        <f>F99*$G$96</f>
        <v>4.4</v>
      </c>
    </row>
    <row r="100" ht="28.5" spans="1:8">
      <c r="A100" s="28"/>
      <c r="B100" s="31" t="s">
        <v>255</v>
      </c>
      <c r="C100" s="10" t="s">
        <v>205</v>
      </c>
      <c r="D100" s="10" t="s">
        <v>218</v>
      </c>
      <c r="E100" s="10" t="s">
        <v>54</v>
      </c>
      <c r="F100" s="36">
        <v>2</v>
      </c>
      <c r="G100" s="54"/>
      <c r="H100" s="10">
        <f>F100*$G$96</f>
        <v>200</v>
      </c>
    </row>
    <row r="101" ht="14.25" spans="1:8">
      <c r="A101" s="28"/>
      <c r="B101" s="37" t="s">
        <v>208</v>
      </c>
      <c r="C101" s="8" t="s">
        <v>205</v>
      </c>
      <c r="D101" s="8" t="s">
        <v>19</v>
      </c>
      <c r="E101" s="8" t="s">
        <v>209</v>
      </c>
      <c r="F101" s="38">
        <v>1</v>
      </c>
      <c r="G101" s="54"/>
      <c r="H101" s="10">
        <f>F101*$G$96</f>
        <v>100</v>
      </c>
    </row>
    <row r="102" ht="14.25" spans="1:8">
      <c r="A102" s="39"/>
      <c r="B102" s="55" t="s">
        <v>32</v>
      </c>
      <c r="C102" s="10"/>
      <c r="D102" s="10"/>
      <c r="E102" s="10"/>
      <c r="F102" s="30"/>
      <c r="G102" s="56"/>
      <c r="H102" s="10"/>
    </row>
    <row r="103" ht="14.25" spans="1:8">
      <c r="A103" s="26" t="s">
        <v>256</v>
      </c>
      <c r="B103" s="27" t="s">
        <v>251</v>
      </c>
      <c r="C103" s="23" t="s">
        <v>205</v>
      </c>
      <c r="D103" s="10" t="s">
        <v>13</v>
      </c>
      <c r="E103" s="10">
        <v>1.48</v>
      </c>
      <c r="F103" s="12">
        <v>0.133</v>
      </c>
      <c r="G103" s="52">
        <v>100</v>
      </c>
      <c r="H103" s="10">
        <f>F103*$G$103</f>
        <v>13.3</v>
      </c>
    </row>
    <row r="104" ht="14.25" spans="1:8">
      <c r="A104" s="28"/>
      <c r="B104" s="53" t="s">
        <v>252</v>
      </c>
      <c r="C104" s="23" t="s">
        <v>205</v>
      </c>
      <c r="D104" s="23" t="s">
        <v>13</v>
      </c>
      <c r="E104" s="41">
        <v>1.51</v>
      </c>
      <c r="F104" s="12">
        <v>0.133</v>
      </c>
      <c r="G104" s="54"/>
      <c r="H104" s="10">
        <f>F104*$G$103</f>
        <v>13.3</v>
      </c>
    </row>
    <row r="105" ht="20.25" spans="1:8">
      <c r="A105" s="28"/>
      <c r="B105" s="23" t="s">
        <v>253</v>
      </c>
      <c r="C105" s="11" t="s">
        <v>205</v>
      </c>
      <c r="D105" s="10" t="s">
        <v>13</v>
      </c>
      <c r="E105" s="10">
        <v>1.38</v>
      </c>
      <c r="F105" s="12">
        <v>0.015</v>
      </c>
      <c r="G105" s="54"/>
      <c r="H105" s="10">
        <f>F105*$G$103</f>
        <v>1.5</v>
      </c>
    </row>
    <row r="106" ht="14.25" spans="1:8">
      <c r="A106" s="28"/>
      <c r="B106" s="23" t="s">
        <v>254</v>
      </c>
      <c r="C106" s="10" t="s">
        <v>205</v>
      </c>
      <c r="D106" s="10" t="s">
        <v>13</v>
      </c>
      <c r="E106" s="10">
        <v>1.4</v>
      </c>
      <c r="F106" s="12">
        <v>0.044</v>
      </c>
      <c r="G106" s="54"/>
      <c r="H106" s="10">
        <f>F106*$G$103</f>
        <v>4.4</v>
      </c>
    </row>
    <row r="107" ht="28.5" spans="1:8">
      <c r="A107" s="28"/>
      <c r="B107" s="31" t="s">
        <v>255</v>
      </c>
      <c r="C107" s="10" t="s">
        <v>205</v>
      </c>
      <c r="D107" s="10" t="s">
        <v>218</v>
      </c>
      <c r="E107" s="10" t="s">
        <v>54</v>
      </c>
      <c r="F107" s="36">
        <v>2</v>
      </c>
      <c r="G107" s="54"/>
      <c r="H107" s="10">
        <f>F107*$G$103</f>
        <v>200</v>
      </c>
    </row>
    <row r="108" ht="14.25" spans="1:8">
      <c r="A108" s="28"/>
      <c r="B108" s="37" t="s">
        <v>208</v>
      </c>
      <c r="C108" s="8" t="s">
        <v>205</v>
      </c>
      <c r="D108" s="8" t="s">
        <v>19</v>
      </c>
      <c r="E108" s="8" t="s">
        <v>209</v>
      </c>
      <c r="F108" s="38">
        <v>1</v>
      </c>
      <c r="G108" s="54"/>
      <c r="H108" s="10">
        <f>F108*$G$103</f>
        <v>100</v>
      </c>
    </row>
    <row r="109" ht="14.25" spans="1:8">
      <c r="A109" s="39"/>
      <c r="B109" s="55" t="s">
        <v>32</v>
      </c>
      <c r="C109" s="10"/>
      <c r="D109" s="10"/>
      <c r="E109" s="10"/>
      <c r="F109" s="30"/>
      <c r="G109" s="56"/>
      <c r="H109" s="10"/>
    </row>
    <row r="110" ht="14.25" spans="1:8">
      <c r="A110" s="26" t="s">
        <v>257</v>
      </c>
      <c r="B110" s="27" t="s">
        <v>251</v>
      </c>
      <c r="C110" s="23" t="s">
        <v>205</v>
      </c>
      <c r="D110" s="10" t="s">
        <v>13</v>
      </c>
      <c r="E110" s="10">
        <v>1.48</v>
      </c>
      <c r="F110" s="12">
        <v>0.133</v>
      </c>
      <c r="G110" s="52">
        <v>100</v>
      </c>
      <c r="H110" s="10">
        <f>F110*$G$110</f>
        <v>13.3</v>
      </c>
    </row>
    <row r="111" ht="14.25" spans="1:8">
      <c r="A111" s="28"/>
      <c r="B111" s="53" t="s">
        <v>252</v>
      </c>
      <c r="C111" s="23" t="s">
        <v>205</v>
      </c>
      <c r="D111" s="23" t="s">
        <v>13</v>
      </c>
      <c r="E111" s="41">
        <v>1.51</v>
      </c>
      <c r="F111" s="12">
        <v>0.133</v>
      </c>
      <c r="G111" s="54"/>
      <c r="H111" s="10">
        <f>F111*$G$110</f>
        <v>13.3</v>
      </c>
    </row>
    <row r="112" ht="20.25" spans="1:8">
      <c r="A112" s="28"/>
      <c r="B112" s="23" t="s">
        <v>253</v>
      </c>
      <c r="C112" s="11" t="s">
        <v>222</v>
      </c>
      <c r="D112" s="10" t="s">
        <v>13</v>
      </c>
      <c r="E112" s="10">
        <v>1.38</v>
      </c>
      <c r="F112" s="12">
        <v>0.015</v>
      </c>
      <c r="G112" s="54"/>
      <c r="H112" s="10">
        <f>F112*$G$110</f>
        <v>1.5</v>
      </c>
    </row>
    <row r="113" ht="14.25" spans="1:8">
      <c r="A113" s="28"/>
      <c r="B113" s="23" t="s">
        <v>254</v>
      </c>
      <c r="C113" s="10" t="s">
        <v>205</v>
      </c>
      <c r="D113" s="10" t="s">
        <v>13</v>
      </c>
      <c r="E113" s="10">
        <v>1.4</v>
      </c>
      <c r="F113" s="12">
        <v>0.044</v>
      </c>
      <c r="G113" s="54"/>
      <c r="H113" s="10">
        <f>F113*$G$110</f>
        <v>4.4</v>
      </c>
    </row>
    <row r="114" ht="28.5" spans="1:8">
      <c r="A114" s="28"/>
      <c r="B114" s="31" t="s">
        <v>255</v>
      </c>
      <c r="C114" s="10" t="s">
        <v>205</v>
      </c>
      <c r="D114" s="10" t="s">
        <v>218</v>
      </c>
      <c r="E114" s="10" t="s">
        <v>54</v>
      </c>
      <c r="F114" s="36">
        <v>2</v>
      </c>
      <c r="G114" s="54"/>
      <c r="H114" s="10">
        <f>F114*$G$110</f>
        <v>200</v>
      </c>
    </row>
    <row r="115" ht="14.25" spans="1:8">
      <c r="A115" s="28"/>
      <c r="B115" s="37" t="s">
        <v>208</v>
      </c>
      <c r="C115" s="8" t="s">
        <v>205</v>
      </c>
      <c r="D115" s="8" t="s">
        <v>19</v>
      </c>
      <c r="E115" s="8" t="s">
        <v>209</v>
      </c>
      <c r="F115" s="38">
        <v>1</v>
      </c>
      <c r="G115" s="54"/>
      <c r="H115" s="10">
        <f>F115*$G$110</f>
        <v>100</v>
      </c>
    </row>
    <row r="116" ht="14.25" spans="1:8">
      <c r="A116" s="39"/>
      <c r="B116" s="55" t="s">
        <v>32</v>
      </c>
      <c r="C116" s="10"/>
      <c r="D116" s="10"/>
      <c r="E116" s="10"/>
      <c r="F116" s="30"/>
      <c r="G116" s="56"/>
      <c r="H116" s="10"/>
    </row>
    <row r="117" ht="14.25" spans="1:8">
      <c r="A117" s="26" t="s">
        <v>258</v>
      </c>
      <c r="B117" s="23" t="s">
        <v>213</v>
      </c>
      <c r="C117" s="10" t="s">
        <v>205</v>
      </c>
      <c r="D117" s="10" t="s">
        <v>13</v>
      </c>
      <c r="E117" s="10">
        <v>1.48</v>
      </c>
      <c r="F117" s="12">
        <v>0.068</v>
      </c>
      <c r="G117" s="52">
        <v>100</v>
      </c>
      <c r="H117" s="10">
        <f>F117*$G$117</f>
        <v>6.8</v>
      </c>
    </row>
    <row r="118" ht="14.25" spans="1:8">
      <c r="A118" s="28"/>
      <c r="B118" s="23" t="s">
        <v>259</v>
      </c>
      <c r="C118" s="10" t="s">
        <v>205</v>
      </c>
      <c r="D118" s="10" t="s">
        <v>13</v>
      </c>
      <c r="E118" s="10">
        <v>1.48</v>
      </c>
      <c r="F118" s="12">
        <v>0.082</v>
      </c>
      <c r="G118" s="54"/>
      <c r="H118" s="10">
        <f>F118*$G$117</f>
        <v>8.2</v>
      </c>
    </row>
    <row r="119" ht="20.25" spans="1:8">
      <c r="A119" s="28"/>
      <c r="B119" s="23" t="s">
        <v>214</v>
      </c>
      <c r="C119" s="29" t="s">
        <v>12</v>
      </c>
      <c r="D119" s="10" t="s">
        <v>13</v>
      </c>
      <c r="E119" s="10" t="s">
        <v>54</v>
      </c>
      <c r="F119" s="30">
        <v>1.23</v>
      </c>
      <c r="G119" s="54"/>
      <c r="H119" s="10">
        <f>F119*$G$117</f>
        <v>123</v>
      </c>
    </row>
    <row r="120" ht="14.25" spans="1:8">
      <c r="A120" s="28"/>
      <c r="B120" s="37" t="s">
        <v>208</v>
      </c>
      <c r="C120" s="8" t="s">
        <v>205</v>
      </c>
      <c r="D120" s="8" t="s">
        <v>19</v>
      </c>
      <c r="E120" s="8" t="s">
        <v>209</v>
      </c>
      <c r="F120" s="38">
        <v>1</v>
      </c>
      <c r="G120" s="54"/>
      <c r="H120" s="10">
        <f>F120*$G$117</f>
        <v>100</v>
      </c>
    </row>
    <row r="121" ht="14.25" spans="1:8">
      <c r="A121" s="28"/>
      <c r="B121" s="8" t="s">
        <v>220</v>
      </c>
      <c r="C121" s="8" t="s">
        <v>205</v>
      </c>
      <c r="D121" s="8" t="s">
        <v>13</v>
      </c>
      <c r="E121" s="8">
        <v>1.5</v>
      </c>
      <c r="F121" s="21">
        <v>0.06</v>
      </c>
      <c r="G121" s="54"/>
      <c r="H121" s="10">
        <f>F121*$G$117</f>
        <v>6</v>
      </c>
    </row>
    <row r="122" ht="14.25" spans="1:8">
      <c r="A122" s="39"/>
      <c r="B122" s="55" t="s">
        <v>32</v>
      </c>
      <c r="C122" s="10"/>
      <c r="D122" s="10"/>
      <c r="E122" s="10"/>
      <c r="F122" s="30"/>
      <c r="G122" s="56"/>
      <c r="H122" s="10"/>
    </row>
    <row r="123" ht="14.25" spans="1:8">
      <c r="A123" s="26" t="s">
        <v>260</v>
      </c>
      <c r="B123" s="23" t="s">
        <v>213</v>
      </c>
      <c r="C123" s="10" t="s">
        <v>205</v>
      </c>
      <c r="D123" s="10" t="s">
        <v>13</v>
      </c>
      <c r="E123" s="10">
        <v>1.48</v>
      </c>
      <c r="F123" s="12">
        <v>0.068</v>
      </c>
      <c r="G123" s="52">
        <v>100</v>
      </c>
      <c r="H123" s="10">
        <f>F123*$G$123</f>
        <v>6.8</v>
      </c>
    </row>
    <row r="124" ht="14.25" spans="1:8">
      <c r="A124" s="28"/>
      <c r="B124" s="23" t="s">
        <v>259</v>
      </c>
      <c r="C124" s="10" t="s">
        <v>205</v>
      </c>
      <c r="D124" s="10" t="s">
        <v>13</v>
      </c>
      <c r="E124" s="10">
        <v>1.48</v>
      </c>
      <c r="F124" s="12">
        <v>0.082</v>
      </c>
      <c r="G124" s="54"/>
      <c r="H124" s="10">
        <f>F124*$G$123</f>
        <v>8.2</v>
      </c>
    </row>
    <row r="125" ht="20.25" spans="1:8">
      <c r="A125" s="28"/>
      <c r="B125" s="23" t="s">
        <v>214</v>
      </c>
      <c r="C125" s="29" t="s">
        <v>225</v>
      </c>
      <c r="D125" s="10" t="s">
        <v>13</v>
      </c>
      <c r="E125" s="10" t="s">
        <v>54</v>
      </c>
      <c r="F125" s="30">
        <v>1.23</v>
      </c>
      <c r="G125" s="54"/>
      <c r="H125" s="10">
        <f>F125*$G$123</f>
        <v>123</v>
      </c>
    </row>
    <row r="126" ht="14.25" spans="1:8">
      <c r="A126" s="28"/>
      <c r="B126" s="37" t="s">
        <v>208</v>
      </c>
      <c r="C126" s="8" t="s">
        <v>205</v>
      </c>
      <c r="D126" s="8" t="s">
        <v>19</v>
      </c>
      <c r="E126" s="8" t="s">
        <v>209</v>
      </c>
      <c r="F126" s="38">
        <v>1</v>
      </c>
      <c r="G126" s="54"/>
      <c r="H126" s="10">
        <f>F126*$G$123</f>
        <v>100</v>
      </c>
    </row>
    <row r="127" ht="14.25" spans="1:8">
      <c r="A127" s="28"/>
      <c r="B127" s="8" t="s">
        <v>220</v>
      </c>
      <c r="C127" s="8" t="s">
        <v>205</v>
      </c>
      <c r="D127" s="8" t="s">
        <v>13</v>
      </c>
      <c r="E127" s="8">
        <v>1.5</v>
      </c>
      <c r="F127" s="21">
        <v>0.06</v>
      </c>
      <c r="G127" s="54"/>
      <c r="H127" s="10">
        <f>F127*$G$123</f>
        <v>6</v>
      </c>
    </row>
    <row r="128" ht="14.25" spans="1:8">
      <c r="A128" s="39"/>
      <c r="B128" s="55" t="s">
        <v>32</v>
      </c>
      <c r="C128" s="10"/>
      <c r="D128" s="10"/>
      <c r="E128" s="10"/>
      <c r="F128" s="30"/>
      <c r="G128" s="56"/>
      <c r="H128" s="10"/>
    </row>
    <row r="129" ht="14.25" spans="1:8">
      <c r="A129" s="26" t="s">
        <v>261</v>
      </c>
      <c r="B129" s="23" t="s">
        <v>213</v>
      </c>
      <c r="C129" s="10" t="s">
        <v>205</v>
      </c>
      <c r="D129" s="10" t="s">
        <v>13</v>
      </c>
      <c r="E129" s="10">
        <v>1.48</v>
      </c>
      <c r="F129" s="12">
        <v>0.068</v>
      </c>
      <c r="G129" s="52">
        <v>125</v>
      </c>
      <c r="H129" s="10">
        <f>F129*$G$129</f>
        <v>8.5</v>
      </c>
    </row>
    <row r="130" ht="14.25" spans="1:8">
      <c r="A130" s="28"/>
      <c r="B130" s="23" t="s">
        <v>259</v>
      </c>
      <c r="C130" s="10" t="s">
        <v>205</v>
      </c>
      <c r="D130" s="10" t="s">
        <v>13</v>
      </c>
      <c r="E130" s="10">
        <v>1.48</v>
      </c>
      <c r="F130" s="12">
        <v>0.082</v>
      </c>
      <c r="G130" s="54"/>
      <c r="H130" s="10">
        <f>F130*$G$129</f>
        <v>10.25</v>
      </c>
    </row>
    <row r="131" ht="20.25" spans="1:8">
      <c r="A131" s="28"/>
      <c r="B131" s="23" t="s">
        <v>214</v>
      </c>
      <c r="C131" s="29" t="s">
        <v>222</v>
      </c>
      <c r="D131" s="10" t="s">
        <v>13</v>
      </c>
      <c r="E131" s="10" t="s">
        <v>54</v>
      </c>
      <c r="F131" s="30">
        <v>1.23</v>
      </c>
      <c r="G131" s="54"/>
      <c r="H131" s="10">
        <f>F131*$G$129</f>
        <v>153.75</v>
      </c>
    </row>
    <row r="132" ht="14.25" spans="1:8">
      <c r="A132" s="28"/>
      <c r="B132" s="37" t="s">
        <v>208</v>
      </c>
      <c r="C132" s="8" t="s">
        <v>205</v>
      </c>
      <c r="D132" s="8" t="s">
        <v>19</v>
      </c>
      <c r="E132" s="8" t="s">
        <v>209</v>
      </c>
      <c r="F132" s="38">
        <v>1</v>
      </c>
      <c r="G132" s="54"/>
      <c r="H132" s="10">
        <f>F132*$G$129</f>
        <v>125</v>
      </c>
    </row>
    <row r="133" ht="14.25" spans="1:8">
      <c r="A133" s="28"/>
      <c r="B133" s="8" t="s">
        <v>220</v>
      </c>
      <c r="C133" s="8" t="s">
        <v>205</v>
      </c>
      <c r="D133" s="8" t="s">
        <v>13</v>
      </c>
      <c r="E133" s="8">
        <v>1.5</v>
      </c>
      <c r="F133" s="21">
        <v>0.06</v>
      </c>
      <c r="G133" s="54"/>
      <c r="H133" s="10">
        <f>F133*$G$129</f>
        <v>7.5</v>
      </c>
    </row>
    <row r="134" ht="14.25" spans="1:8">
      <c r="A134" s="39"/>
      <c r="B134" s="55" t="s">
        <v>32</v>
      </c>
      <c r="C134" s="10"/>
      <c r="D134" s="10"/>
      <c r="E134" s="10"/>
      <c r="F134" s="30"/>
      <c r="G134" s="56"/>
      <c r="H134" s="10"/>
    </row>
    <row r="135" ht="14.25" spans="1:8">
      <c r="A135" s="26" t="s">
        <v>262</v>
      </c>
      <c r="B135" s="23" t="s">
        <v>213</v>
      </c>
      <c r="C135" s="10" t="s">
        <v>205</v>
      </c>
      <c r="D135" s="10" t="s">
        <v>13</v>
      </c>
      <c r="E135" s="10">
        <v>1.48</v>
      </c>
      <c r="F135" s="12">
        <v>0.068</v>
      </c>
      <c r="G135" s="52">
        <v>100</v>
      </c>
      <c r="H135" s="10">
        <f>F135*$G$135</f>
        <v>6.8</v>
      </c>
    </row>
    <row r="136" ht="14.25" spans="1:8">
      <c r="A136" s="28"/>
      <c r="B136" s="23" t="s">
        <v>259</v>
      </c>
      <c r="C136" s="10" t="s">
        <v>205</v>
      </c>
      <c r="D136" s="10" t="s">
        <v>13</v>
      </c>
      <c r="E136" s="10">
        <v>1.48</v>
      </c>
      <c r="F136" s="12">
        <v>0.082</v>
      </c>
      <c r="G136" s="54"/>
      <c r="H136" s="10">
        <f>F136*$G$135</f>
        <v>8.2</v>
      </c>
    </row>
    <row r="137" ht="20.25" spans="1:8">
      <c r="A137" s="28"/>
      <c r="B137" s="23" t="s">
        <v>214</v>
      </c>
      <c r="C137" s="29" t="s">
        <v>240</v>
      </c>
      <c r="D137" s="10" t="s">
        <v>13</v>
      </c>
      <c r="E137" s="10" t="s">
        <v>54</v>
      </c>
      <c r="F137" s="30">
        <v>1.23</v>
      </c>
      <c r="G137" s="54"/>
      <c r="H137" s="10">
        <f>F137*$G$135</f>
        <v>123</v>
      </c>
    </row>
    <row r="138" ht="14.25" spans="1:8">
      <c r="A138" s="28"/>
      <c r="B138" s="37" t="s">
        <v>208</v>
      </c>
      <c r="C138" s="8" t="s">
        <v>205</v>
      </c>
      <c r="D138" s="8" t="s">
        <v>19</v>
      </c>
      <c r="E138" s="8" t="s">
        <v>209</v>
      </c>
      <c r="F138" s="38">
        <v>1</v>
      </c>
      <c r="G138" s="54"/>
      <c r="H138" s="10">
        <f>F138*$G$135</f>
        <v>100</v>
      </c>
    </row>
    <row r="139" ht="14.25" spans="1:8">
      <c r="A139" s="28"/>
      <c r="B139" s="8" t="s">
        <v>220</v>
      </c>
      <c r="C139" s="8" t="s">
        <v>205</v>
      </c>
      <c r="D139" s="8" t="s">
        <v>13</v>
      </c>
      <c r="E139" s="8">
        <v>1.5</v>
      </c>
      <c r="F139" s="21">
        <v>0.06</v>
      </c>
      <c r="G139" s="54"/>
      <c r="H139" s="10">
        <f>F139*$G$135</f>
        <v>6</v>
      </c>
    </row>
    <row r="140" ht="14.25" spans="1:8">
      <c r="A140" s="39"/>
      <c r="B140" s="55" t="s">
        <v>32</v>
      </c>
      <c r="C140" s="10"/>
      <c r="D140" s="10"/>
      <c r="E140" s="10"/>
      <c r="F140" s="30"/>
      <c r="G140" s="56"/>
      <c r="H140" s="10"/>
    </row>
  </sheetData>
  <mergeCells count="43">
    <mergeCell ref="A1:H1"/>
    <mergeCell ref="A2:H2"/>
    <mergeCell ref="A3:H3"/>
    <mergeCell ref="A5:A10"/>
    <mergeCell ref="A11:A16"/>
    <mergeCell ref="A17:A25"/>
    <mergeCell ref="A26:A34"/>
    <mergeCell ref="A35:A43"/>
    <mergeCell ref="A44:A52"/>
    <mergeCell ref="A53:A59"/>
    <mergeCell ref="A60:A66"/>
    <mergeCell ref="A67:A73"/>
    <mergeCell ref="A74:A80"/>
    <mergeCell ref="A81:A85"/>
    <mergeCell ref="A86:A90"/>
    <mergeCell ref="A91:A95"/>
    <mergeCell ref="A96:A102"/>
    <mergeCell ref="A103:A109"/>
    <mergeCell ref="A110:A116"/>
    <mergeCell ref="A117:A122"/>
    <mergeCell ref="A123:A128"/>
    <mergeCell ref="A129:A134"/>
    <mergeCell ref="A135:A140"/>
    <mergeCell ref="G5:G10"/>
    <mergeCell ref="G11:G16"/>
    <mergeCell ref="G17:G25"/>
    <mergeCell ref="G26:G34"/>
    <mergeCell ref="G35:G43"/>
    <mergeCell ref="G44:G52"/>
    <mergeCell ref="G53:G59"/>
    <mergeCell ref="G60:G66"/>
    <mergeCell ref="G67:G73"/>
    <mergeCell ref="G74:G80"/>
    <mergeCell ref="G81:G85"/>
    <mergeCell ref="G86:G90"/>
    <mergeCell ref="G91:G95"/>
    <mergeCell ref="G96:G102"/>
    <mergeCell ref="G103:G109"/>
    <mergeCell ref="G110:G116"/>
    <mergeCell ref="G117:G122"/>
    <mergeCell ref="G123:G128"/>
    <mergeCell ref="G129:G134"/>
    <mergeCell ref="G135:G140"/>
  </mergeCells>
  <pageMargins left="0.7" right="0.7" top="0.0784722222222222" bottom="0.0388888888888889" header="0.3" footer="0.3"/>
  <pageSetup paperSize="9" scale="8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车罩</vt:lpstr>
      <vt:lpstr>椅套、坐垫</vt:lpstr>
      <vt:lpstr>盘套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天台佳轩小汤755532</cp:lastModifiedBy>
  <dcterms:created xsi:type="dcterms:W3CDTF">2023-05-12T11:15:00Z</dcterms:created>
  <dcterms:modified xsi:type="dcterms:W3CDTF">2026-06-19T01:04:04Z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B71741FDF0F343A4B3B4E98708FEFC27_12</vt:lpwstr>
  </property>
  <property fmtid="{D5CDD505-2E9C-101B-9397-08002B2CF9AE}" pid="4" name="CalculationRule">
    <vt:i4>0</vt:i4>
  </property>
</Properties>
</file>